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0" documentId="8_{9466A835-3BB2-4249-A06A-278A750B34E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ead Me" sheetId="1" r:id="rId1"/>
    <sheet name="Assumptions" sheetId="2" r:id="rId2"/>
    <sheet name="Historical FY16-FY25" sheetId="3" r:id="rId3"/>
    <sheet name="Projection FY26-FY45" sheetId="4" r:id="rId4"/>
    <sheet name="Schools 1pct Profile" sheetId="5" r:id="rId5"/>
    <sheet name="Opportunity Controls" sheetId="6" r:id="rId6"/>
    <sheet name="Opportunity Model" sheetId="7" r:id="rId7"/>
    <sheet name="Region Summary" sheetId="8" r:id="rId8"/>
    <sheet name="Region Needs Profile" sheetId="9" r:id="rId9"/>
    <sheet name="Locality Play" sheetId="10" r:id="rId10"/>
    <sheet name="Funding Stack" sheetId="11" r:id="rId11"/>
    <sheet name="Sources" sheetId="12" r:id="rId12"/>
  </sheets>
  <definedNames>
    <definedName name="_xlnm._FilterDatabase" localSheetId="2" hidden="1">'Historical FY16-FY25'!$A$4:$J$137</definedName>
    <definedName name="_xlnm._FilterDatabase" localSheetId="9" hidden="1">'Locality Play'!$A$5:$U$138</definedName>
    <definedName name="_xlnm._FilterDatabase" localSheetId="6" hidden="1">'Opportunity Model'!$A$5:$O$138</definedName>
    <definedName name="_xlnm._FilterDatabase" localSheetId="3" hidden="1">'Projection FY26-FY45'!$A$4:$D$137</definedName>
    <definedName name="_xlnm._FilterDatabase" localSheetId="4" hidden="1">'Schools 1pct Profile'!$A$5:$K$138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8" i="10" l="1"/>
  <c r="H138" i="10"/>
  <c r="D138" i="10"/>
  <c r="I137" i="10"/>
  <c r="H137" i="10"/>
  <c r="D137" i="10"/>
  <c r="I136" i="10"/>
  <c r="H136" i="10"/>
  <c r="D136" i="10"/>
  <c r="I135" i="10"/>
  <c r="H135" i="10"/>
  <c r="D135" i="10"/>
  <c r="I134" i="10"/>
  <c r="H134" i="10"/>
  <c r="D134" i="10"/>
  <c r="I133" i="10"/>
  <c r="H133" i="10"/>
  <c r="D133" i="10"/>
  <c r="I132" i="10"/>
  <c r="H132" i="10"/>
  <c r="D132" i="10"/>
  <c r="I131" i="10"/>
  <c r="H131" i="10"/>
  <c r="D131" i="10"/>
  <c r="I130" i="10"/>
  <c r="H130" i="10"/>
  <c r="D130" i="10"/>
  <c r="I129" i="10"/>
  <c r="H129" i="10"/>
  <c r="D129" i="10"/>
  <c r="I128" i="10"/>
  <c r="H128" i="10"/>
  <c r="D128" i="10"/>
  <c r="I127" i="10"/>
  <c r="H127" i="10"/>
  <c r="D127" i="10"/>
  <c r="I126" i="10"/>
  <c r="H126" i="10"/>
  <c r="D126" i="10"/>
  <c r="I125" i="10"/>
  <c r="H125" i="10"/>
  <c r="D125" i="10"/>
  <c r="I124" i="10"/>
  <c r="H124" i="10"/>
  <c r="D124" i="10"/>
  <c r="I123" i="10"/>
  <c r="H123" i="10"/>
  <c r="D123" i="10"/>
  <c r="I122" i="10"/>
  <c r="H122" i="10"/>
  <c r="D122" i="10"/>
  <c r="I121" i="10"/>
  <c r="H121" i="10"/>
  <c r="D121" i="10"/>
  <c r="I120" i="10"/>
  <c r="H120" i="10"/>
  <c r="D120" i="10"/>
  <c r="I119" i="10"/>
  <c r="H119" i="10"/>
  <c r="D119" i="10"/>
  <c r="I118" i="10"/>
  <c r="H118" i="10"/>
  <c r="D118" i="10"/>
  <c r="I117" i="10"/>
  <c r="H117" i="10"/>
  <c r="D117" i="10"/>
  <c r="I116" i="10"/>
  <c r="H116" i="10"/>
  <c r="D116" i="10"/>
  <c r="I115" i="10"/>
  <c r="H115" i="10"/>
  <c r="D115" i="10"/>
  <c r="I114" i="10"/>
  <c r="H114" i="10"/>
  <c r="D114" i="10"/>
  <c r="I113" i="10"/>
  <c r="H113" i="10"/>
  <c r="D113" i="10"/>
  <c r="I112" i="10"/>
  <c r="H112" i="10"/>
  <c r="D112" i="10"/>
  <c r="I111" i="10"/>
  <c r="H111" i="10"/>
  <c r="D111" i="10"/>
  <c r="I110" i="10"/>
  <c r="H110" i="10"/>
  <c r="D110" i="10"/>
  <c r="I109" i="10"/>
  <c r="H109" i="10"/>
  <c r="D109" i="10"/>
  <c r="I108" i="10"/>
  <c r="H108" i="10"/>
  <c r="D108" i="10"/>
  <c r="I107" i="10"/>
  <c r="H107" i="10"/>
  <c r="D107" i="10"/>
  <c r="I106" i="10"/>
  <c r="H106" i="10"/>
  <c r="D106" i="10"/>
  <c r="I105" i="10"/>
  <c r="H105" i="10"/>
  <c r="D105" i="10"/>
  <c r="I104" i="10"/>
  <c r="H104" i="10"/>
  <c r="D104" i="10"/>
  <c r="I103" i="10"/>
  <c r="H103" i="10"/>
  <c r="D103" i="10"/>
  <c r="I102" i="10"/>
  <c r="H102" i="10"/>
  <c r="D102" i="10"/>
  <c r="I101" i="10"/>
  <c r="H101" i="10"/>
  <c r="D101" i="10"/>
  <c r="I100" i="10"/>
  <c r="H100" i="10"/>
  <c r="D100" i="10"/>
  <c r="I99" i="10"/>
  <c r="H99" i="10"/>
  <c r="D99" i="10"/>
  <c r="I98" i="10"/>
  <c r="H98" i="10"/>
  <c r="D98" i="10"/>
  <c r="I97" i="10"/>
  <c r="H97" i="10"/>
  <c r="D97" i="10"/>
  <c r="I96" i="10"/>
  <c r="H96" i="10"/>
  <c r="D96" i="10"/>
  <c r="I95" i="10"/>
  <c r="H95" i="10"/>
  <c r="D95" i="10"/>
  <c r="I94" i="10"/>
  <c r="H94" i="10"/>
  <c r="D94" i="10"/>
  <c r="I93" i="10"/>
  <c r="H93" i="10"/>
  <c r="D93" i="10"/>
  <c r="I92" i="10"/>
  <c r="H92" i="10"/>
  <c r="D92" i="10"/>
  <c r="I91" i="10"/>
  <c r="H91" i="10"/>
  <c r="D91" i="10"/>
  <c r="I90" i="10"/>
  <c r="H90" i="10"/>
  <c r="D90" i="10"/>
  <c r="I89" i="10"/>
  <c r="H89" i="10"/>
  <c r="D89" i="10"/>
  <c r="I88" i="10"/>
  <c r="H88" i="10"/>
  <c r="D88" i="10"/>
  <c r="I87" i="10"/>
  <c r="H87" i="10"/>
  <c r="D87" i="10"/>
  <c r="I86" i="10"/>
  <c r="H86" i="10"/>
  <c r="D86" i="10"/>
  <c r="I85" i="10"/>
  <c r="H85" i="10"/>
  <c r="D85" i="10"/>
  <c r="I84" i="10"/>
  <c r="H84" i="10"/>
  <c r="D84" i="10"/>
  <c r="I83" i="10"/>
  <c r="H83" i="10"/>
  <c r="D83" i="10"/>
  <c r="I82" i="10"/>
  <c r="H82" i="10"/>
  <c r="D82" i="10"/>
  <c r="I81" i="10"/>
  <c r="H81" i="10"/>
  <c r="D81" i="10"/>
  <c r="I80" i="10"/>
  <c r="H80" i="10"/>
  <c r="D80" i="10"/>
  <c r="I79" i="10"/>
  <c r="H79" i="10"/>
  <c r="D79" i="10"/>
  <c r="I78" i="10"/>
  <c r="H78" i="10"/>
  <c r="D78" i="10"/>
  <c r="I77" i="10"/>
  <c r="H77" i="10"/>
  <c r="D77" i="10"/>
  <c r="I76" i="10"/>
  <c r="H76" i="10"/>
  <c r="D76" i="10"/>
  <c r="I75" i="10"/>
  <c r="H75" i="10"/>
  <c r="D75" i="10"/>
  <c r="I74" i="10"/>
  <c r="H74" i="10"/>
  <c r="D74" i="10"/>
  <c r="I73" i="10"/>
  <c r="H73" i="10"/>
  <c r="D73" i="10"/>
  <c r="I72" i="10"/>
  <c r="H72" i="10"/>
  <c r="D72" i="10"/>
  <c r="I71" i="10"/>
  <c r="H71" i="10"/>
  <c r="D71" i="10"/>
  <c r="I70" i="10"/>
  <c r="H70" i="10"/>
  <c r="D70" i="10"/>
  <c r="I69" i="10"/>
  <c r="H69" i="10"/>
  <c r="D69" i="10"/>
  <c r="I68" i="10"/>
  <c r="H68" i="10"/>
  <c r="D68" i="10"/>
  <c r="I67" i="10"/>
  <c r="H67" i="10"/>
  <c r="D67" i="10"/>
  <c r="I66" i="10"/>
  <c r="H66" i="10"/>
  <c r="D66" i="10"/>
  <c r="I65" i="10"/>
  <c r="H65" i="10"/>
  <c r="D65" i="10"/>
  <c r="I64" i="10"/>
  <c r="H64" i="10"/>
  <c r="D64" i="10"/>
  <c r="I63" i="10"/>
  <c r="H63" i="10"/>
  <c r="D63" i="10"/>
  <c r="I62" i="10"/>
  <c r="H62" i="10"/>
  <c r="D62" i="10"/>
  <c r="I61" i="10"/>
  <c r="H61" i="10"/>
  <c r="D61" i="10"/>
  <c r="I60" i="10"/>
  <c r="H60" i="10"/>
  <c r="D60" i="10"/>
  <c r="I59" i="10"/>
  <c r="H59" i="10"/>
  <c r="D59" i="10"/>
  <c r="I58" i="10"/>
  <c r="H58" i="10"/>
  <c r="D58" i="10"/>
  <c r="I57" i="10"/>
  <c r="H57" i="10"/>
  <c r="D57" i="10"/>
  <c r="I56" i="10"/>
  <c r="H56" i="10"/>
  <c r="D56" i="10"/>
  <c r="I55" i="10"/>
  <c r="H55" i="10"/>
  <c r="D55" i="10"/>
  <c r="I54" i="10"/>
  <c r="H54" i="10"/>
  <c r="D54" i="10"/>
  <c r="I53" i="10"/>
  <c r="H53" i="10"/>
  <c r="D53" i="10"/>
  <c r="I52" i="10"/>
  <c r="H52" i="10"/>
  <c r="D52" i="10"/>
  <c r="I51" i="10"/>
  <c r="H51" i="10"/>
  <c r="D51" i="10"/>
  <c r="I50" i="10"/>
  <c r="H50" i="10"/>
  <c r="D50" i="10"/>
  <c r="I49" i="10"/>
  <c r="H49" i="10"/>
  <c r="D49" i="10"/>
  <c r="I48" i="10"/>
  <c r="H48" i="10"/>
  <c r="D48" i="10"/>
  <c r="I47" i="10"/>
  <c r="H47" i="10"/>
  <c r="D47" i="10"/>
  <c r="I46" i="10"/>
  <c r="H46" i="10"/>
  <c r="D46" i="10"/>
  <c r="I45" i="10"/>
  <c r="H45" i="10"/>
  <c r="D45" i="10"/>
  <c r="I44" i="10"/>
  <c r="H44" i="10"/>
  <c r="D44" i="10"/>
  <c r="I43" i="10"/>
  <c r="H43" i="10"/>
  <c r="D43" i="10"/>
  <c r="I42" i="10"/>
  <c r="H42" i="10"/>
  <c r="D42" i="10"/>
  <c r="I41" i="10"/>
  <c r="H41" i="10"/>
  <c r="D41" i="10"/>
  <c r="I40" i="10"/>
  <c r="H40" i="10"/>
  <c r="D40" i="10"/>
  <c r="I39" i="10"/>
  <c r="H39" i="10"/>
  <c r="D39" i="10"/>
  <c r="I38" i="10"/>
  <c r="H38" i="10"/>
  <c r="D38" i="10"/>
  <c r="I37" i="10"/>
  <c r="H37" i="10"/>
  <c r="D37" i="10"/>
  <c r="I36" i="10"/>
  <c r="H36" i="10"/>
  <c r="D36" i="10"/>
  <c r="I35" i="10"/>
  <c r="H35" i="10"/>
  <c r="D35" i="10"/>
  <c r="I34" i="10"/>
  <c r="H34" i="10"/>
  <c r="D34" i="10"/>
  <c r="I33" i="10"/>
  <c r="H33" i="10"/>
  <c r="D33" i="10"/>
  <c r="I32" i="10"/>
  <c r="H32" i="10"/>
  <c r="D32" i="10"/>
  <c r="I31" i="10"/>
  <c r="H31" i="10"/>
  <c r="D31" i="10"/>
  <c r="I30" i="10"/>
  <c r="H30" i="10"/>
  <c r="D30" i="10"/>
  <c r="I29" i="10"/>
  <c r="H29" i="10"/>
  <c r="D29" i="10"/>
  <c r="I28" i="10"/>
  <c r="H28" i="10"/>
  <c r="D28" i="10"/>
  <c r="I27" i="10"/>
  <c r="H27" i="10"/>
  <c r="D27" i="10"/>
  <c r="I26" i="10"/>
  <c r="H26" i="10"/>
  <c r="D26" i="10"/>
  <c r="I25" i="10"/>
  <c r="H25" i="10"/>
  <c r="D25" i="10"/>
  <c r="I24" i="10"/>
  <c r="H24" i="10"/>
  <c r="D24" i="10"/>
  <c r="I23" i="10"/>
  <c r="H23" i="10"/>
  <c r="D23" i="10"/>
  <c r="I22" i="10"/>
  <c r="H22" i="10"/>
  <c r="D22" i="10"/>
  <c r="I21" i="10"/>
  <c r="H21" i="10"/>
  <c r="D21" i="10"/>
  <c r="I20" i="10"/>
  <c r="H20" i="10"/>
  <c r="D20" i="10"/>
  <c r="I19" i="10"/>
  <c r="H19" i="10"/>
  <c r="D19" i="10"/>
  <c r="I18" i="10"/>
  <c r="H18" i="10"/>
  <c r="D18" i="10"/>
  <c r="I17" i="10"/>
  <c r="H17" i="10"/>
  <c r="D17" i="10"/>
  <c r="I16" i="10"/>
  <c r="H16" i="10"/>
  <c r="D16" i="10"/>
  <c r="I15" i="10"/>
  <c r="H15" i="10"/>
  <c r="D15" i="10"/>
  <c r="I14" i="10"/>
  <c r="H14" i="10"/>
  <c r="D14" i="10"/>
  <c r="I13" i="10"/>
  <c r="H13" i="10"/>
  <c r="D13" i="10"/>
  <c r="I12" i="10"/>
  <c r="H12" i="10"/>
  <c r="D12" i="10"/>
  <c r="I11" i="10"/>
  <c r="H11" i="10"/>
  <c r="D11" i="10"/>
  <c r="I10" i="10"/>
  <c r="H10" i="10"/>
  <c r="D10" i="10"/>
  <c r="I9" i="10"/>
  <c r="H9" i="10"/>
  <c r="D9" i="10"/>
  <c r="I8" i="10"/>
  <c r="H8" i="10"/>
  <c r="D8" i="10"/>
  <c r="I7" i="10"/>
  <c r="H7" i="10"/>
  <c r="D7" i="10"/>
  <c r="I6" i="10"/>
  <c r="H6" i="10"/>
  <c r="D6" i="10"/>
  <c r="O13" i="9"/>
  <c r="N13" i="9"/>
  <c r="P13" i="9" s="1"/>
  <c r="O12" i="9"/>
  <c r="N12" i="9"/>
  <c r="P12" i="9" s="1"/>
  <c r="O11" i="9"/>
  <c r="N11" i="9"/>
  <c r="P11" i="9" s="1"/>
  <c r="O10" i="9"/>
  <c r="N10" i="9"/>
  <c r="P10" i="9" s="1"/>
  <c r="O9" i="9"/>
  <c r="N9" i="9"/>
  <c r="P9" i="9" s="1"/>
  <c r="O8" i="9"/>
  <c r="N8" i="9"/>
  <c r="P8" i="9" s="1"/>
  <c r="O7" i="9"/>
  <c r="N7" i="9"/>
  <c r="P7" i="9" s="1"/>
  <c r="O6" i="9"/>
  <c r="N6" i="9"/>
  <c r="P6" i="9" s="1"/>
  <c r="I138" i="7"/>
  <c r="B138" i="7"/>
  <c r="A138" i="7"/>
  <c r="A138" i="10" s="1"/>
  <c r="I137" i="7"/>
  <c r="B137" i="7"/>
  <c r="A137" i="7"/>
  <c r="A137" i="10" s="1"/>
  <c r="I136" i="7"/>
  <c r="B136" i="7"/>
  <c r="A136" i="7"/>
  <c r="A136" i="10" s="1"/>
  <c r="I135" i="7"/>
  <c r="B135" i="7"/>
  <c r="A135" i="7"/>
  <c r="A135" i="10" s="1"/>
  <c r="I134" i="7"/>
  <c r="B134" i="7"/>
  <c r="A134" i="7"/>
  <c r="A134" i="10" s="1"/>
  <c r="I133" i="7"/>
  <c r="B133" i="7"/>
  <c r="A133" i="7"/>
  <c r="A133" i="10" s="1"/>
  <c r="I132" i="7"/>
  <c r="B132" i="7"/>
  <c r="A132" i="7"/>
  <c r="A132" i="10" s="1"/>
  <c r="I131" i="7"/>
  <c r="B131" i="7"/>
  <c r="A131" i="7"/>
  <c r="A131" i="10" s="1"/>
  <c r="I130" i="7"/>
  <c r="B130" i="7"/>
  <c r="A130" i="7"/>
  <c r="A130" i="10" s="1"/>
  <c r="I129" i="7"/>
  <c r="B129" i="7"/>
  <c r="A129" i="7"/>
  <c r="A129" i="10" s="1"/>
  <c r="I128" i="7"/>
  <c r="B128" i="7"/>
  <c r="A128" i="7"/>
  <c r="A128" i="10" s="1"/>
  <c r="I127" i="7"/>
  <c r="B127" i="7"/>
  <c r="A127" i="7"/>
  <c r="A127" i="10" s="1"/>
  <c r="I126" i="7"/>
  <c r="B126" i="7"/>
  <c r="A126" i="7"/>
  <c r="A126" i="10" s="1"/>
  <c r="I125" i="7"/>
  <c r="B125" i="7"/>
  <c r="A125" i="7"/>
  <c r="A125" i="10" s="1"/>
  <c r="I124" i="7"/>
  <c r="B124" i="7"/>
  <c r="A124" i="7"/>
  <c r="A124" i="10" s="1"/>
  <c r="I123" i="7"/>
  <c r="B123" i="7"/>
  <c r="A123" i="7"/>
  <c r="A123" i="10" s="1"/>
  <c r="I122" i="7"/>
  <c r="B122" i="7"/>
  <c r="A122" i="7"/>
  <c r="A122" i="10" s="1"/>
  <c r="I121" i="7"/>
  <c r="B121" i="7"/>
  <c r="A121" i="7"/>
  <c r="A121" i="10" s="1"/>
  <c r="I120" i="7"/>
  <c r="B120" i="7"/>
  <c r="A120" i="7"/>
  <c r="A120" i="10" s="1"/>
  <c r="I119" i="7"/>
  <c r="B119" i="7"/>
  <c r="A119" i="7"/>
  <c r="A119" i="10" s="1"/>
  <c r="I118" i="7"/>
  <c r="B118" i="7"/>
  <c r="A118" i="7"/>
  <c r="A118" i="10" s="1"/>
  <c r="I117" i="7"/>
  <c r="B117" i="7"/>
  <c r="A117" i="7"/>
  <c r="A117" i="10" s="1"/>
  <c r="I116" i="7"/>
  <c r="B116" i="7"/>
  <c r="A116" i="7"/>
  <c r="A116" i="10" s="1"/>
  <c r="I115" i="7"/>
  <c r="B115" i="7"/>
  <c r="A115" i="7"/>
  <c r="A115" i="10" s="1"/>
  <c r="I114" i="7"/>
  <c r="B114" i="7"/>
  <c r="A114" i="7"/>
  <c r="A114" i="10" s="1"/>
  <c r="I113" i="7"/>
  <c r="B113" i="7"/>
  <c r="A113" i="7"/>
  <c r="A113" i="10" s="1"/>
  <c r="I112" i="7"/>
  <c r="B112" i="7"/>
  <c r="A112" i="7"/>
  <c r="A112" i="10" s="1"/>
  <c r="I111" i="7"/>
  <c r="B111" i="7"/>
  <c r="A111" i="7"/>
  <c r="A111" i="10" s="1"/>
  <c r="I110" i="7"/>
  <c r="B110" i="7"/>
  <c r="A110" i="7"/>
  <c r="A110" i="10" s="1"/>
  <c r="I109" i="7"/>
  <c r="B109" i="7"/>
  <c r="A109" i="7"/>
  <c r="A109" i="10" s="1"/>
  <c r="B108" i="7"/>
  <c r="A108" i="7"/>
  <c r="A108" i="10" s="1"/>
  <c r="I107" i="7"/>
  <c r="B107" i="7"/>
  <c r="A107" i="7"/>
  <c r="A107" i="10" s="1"/>
  <c r="I106" i="7"/>
  <c r="B106" i="7"/>
  <c r="A106" i="7"/>
  <c r="A106" i="10" s="1"/>
  <c r="I105" i="7"/>
  <c r="B105" i="7"/>
  <c r="A105" i="7"/>
  <c r="A105" i="10" s="1"/>
  <c r="I104" i="7"/>
  <c r="B104" i="7"/>
  <c r="A104" i="7"/>
  <c r="A104" i="10" s="1"/>
  <c r="I103" i="7"/>
  <c r="B103" i="7"/>
  <c r="A103" i="7"/>
  <c r="A103" i="10" s="1"/>
  <c r="I102" i="7"/>
  <c r="B102" i="7"/>
  <c r="A102" i="7"/>
  <c r="A102" i="10" s="1"/>
  <c r="I101" i="7"/>
  <c r="B101" i="7"/>
  <c r="A101" i="7"/>
  <c r="A101" i="10" s="1"/>
  <c r="I100" i="7"/>
  <c r="B100" i="7"/>
  <c r="A100" i="7"/>
  <c r="A100" i="10" s="1"/>
  <c r="I99" i="7"/>
  <c r="B99" i="7"/>
  <c r="A99" i="7"/>
  <c r="A99" i="10" s="1"/>
  <c r="I98" i="7"/>
  <c r="B98" i="7"/>
  <c r="A98" i="7"/>
  <c r="A98" i="10" s="1"/>
  <c r="I97" i="7"/>
  <c r="B97" i="7"/>
  <c r="A97" i="7"/>
  <c r="A97" i="10" s="1"/>
  <c r="I96" i="7"/>
  <c r="B96" i="7"/>
  <c r="A96" i="7"/>
  <c r="A96" i="10" s="1"/>
  <c r="I95" i="7"/>
  <c r="B95" i="7"/>
  <c r="A95" i="7"/>
  <c r="A95" i="10" s="1"/>
  <c r="I94" i="7"/>
  <c r="B94" i="7"/>
  <c r="A94" i="7"/>
  <c r="A94" i="10" s="1"/>
  <c r="I93" i="7"/>
  <c r="B93" i="7"/>
  <c r="A93" i="7"/>
  <c r="A93" i="10" s="1"/>
  <c r="I92" i="7"/>
  <c r="B92" i="7"/>
  <c r="A92" i="7"/>
  <c r="A92" i="10" s="1"/>
  <c r="I91" i="7"/>
  <c r="B91" i="7"/>
  <c r="A91" i="7"/>
  <c r="A91" i="10" s="1"/>
  <c r="I90" i="7"/>
  <c r="B90" i="7"/>
  <c r="A90" i="7"/>
  <c r="A90" i="10" s="1"/>
  <c r="I89" i="7"/>
  <c r="B89" i="7"/>
  <c r="A89" i="7"/>
  <c r="A89" i="10" s="1"/>
  <c r="I88" i="7"/>
  <c r="B88" i="7"/>
  <c r="A88" i="7"/>
  <c r="A88" i="10" s="1"/>
  <c r="I87" i="7"/>
  <c r="B87" i="7"/>
  <c r="A87" i="7"/>
  <c r="A87" i="10" s="1"/>
  <c r="I86" i="7"/>
  <c r="B86" i="7"/>
  <c r="A86" i="7"/>
  <c r="A86" i="10" s="1"/>
  <c r="I85" i="7"/>
  <c r="B85" i="7"/>
  <c r="A85" i="7"/>
  <c r="A85" i="10" s="1"/>
  <c r="I84" i="7"/>
  <c r="B84" i="7"/>
  <c r="A84" i="7"/>
  <c r="A84" i="10" s="1"/>
  <c r="I83" i="7"/>
  <c r="B83" i="7"/>
  <c r="A83" i="7"/>
  <c r="A83" i="10" s="1"/>
  <c r="I82" i="7"/>
  <c r="B82" i="7"/>
  <c r="A82" i="7"/>
  <c r="A82" i="10" s="1"/>
  <c r="I81" i="7"/>
  <c r="B81" i="7"/>
  <c r="A81" i="7"/>
  <c r="A81" i="10" s="1"/>
  <c r="I80" i="7"/>
  <c r="B80" i="7"/>
  <c r="A80" i="7"/>
  <c r="A80" i="10" s="1"/>
  <c r="I79" i="7"/>
  <c r="B79" i="7"/>
  <c r="A79" i="7"/>
  <c r="A79" i="10" s="1"/>
  <c r="I78" i="7"/>
  <c r="B78" i="7"/>
  <c r="A78" i="7"/>
  <c r="A78" i="10" s="1"/>
  <c r="I77" i="7"/>
  <c r="B77" i="7"/>
  <c r="A77" i="7"/>
  <c r="A77" i="10" s="1"/>
  <c r="I76" i="7"/>
  <c r="B76" i="7"/>
  <c r="A76" i="7"/>
  <c r="A76" i="10" s="1"/>
  <c r="I75" i="7"/>
  <c r="B75" i="7"/>
  <c r="A75" i="7"/>
  <c r="A75" i="10" s="1"/>
  <c r="B74" i="7"/>
  <c r="A74" i="7"/>
  <c r="A74" i="10" s="1"/>
  <c r="B73" i="7"/>
  <c r="A73" i="7"/>
  <c r="A73" i="10" s="1"/>
  <c r="I72" i="7"/>
  <c r="B72" i="7"/>
  <c r="A72" i="7"/>
  <c r="A72" i="10" s="1"/>
  <c r="I71" i="7"/>
  <c r="B71" i="7"/>
  <c r="A71" i="7"/>
  <c r="A71" i="10" s="1"/>
  <c r="I70" i="7"/>
  <c r="B70" i="7"/>
  <c r="A70" i="7"/>
  <c r="A70" i="10" s="1"/>
  <c r="I69" i="7"/>
  <c r="B69" i="7"/>
  <c r="A69" i="7"/>
  <c r="A69" i="10" s="1"/>
  <c r="B68" i="7"/>
  <c r="A68" i="7"/>
  <c r="A68" i="10" s="1"/>
  <c r="I67" i="7"/>
  <c r="B67" i="7"/>
  <c r="A67" i="7"/>
  <c r="A67" i="10" s="1"/>
  <c r="I66" i="7"/>
  <c r="B66" i="7"/>
  <c r="A66" i="7"/>
  <c r="A66" i="10" s="1"/>
  <c r="I65" i="7"/>
  <c r="B65" i="7"/>
  <c r="A65" i="7"/>
  <c r="A65" i="10" s="1"/>
  <c r="I64" i="7"/>
  <c r="B64" i="7"/>
  <c r="A64" i="7"/>
  <c r="A64" i="10" s="1"/>
  <c r="I63" i="7"/>
  <c r="B63" i="7"/>
  <c r="A63" i="7"/>
  <c r="A63" i="10" s="1"/>
  <c r="I62" i="7"/>
  <c r="B62" i="7"/>
  <c r="A62" i="7"/>
  <c r="A62" i="10" s="1"/>
  <c r="I61" i="7"/>
  <c r="B61" i="7"/>
  <c r="A61" i="7"/>
  <c r="A61" i="10" s="1"/>
  <c r="I60" i="7"/>
  <c r="B60" i="7"/>
  <c r="A60" i="7"/>
  <c r="A60" i="10" s="1"/>
  <c r="I59" i="7"/>
  <c r="B59" i="7"/>
  <c r="A59" i="7"/>
  <c r="A59" i="10" s="1"/>
  <c r="I58" i="7"/>
  <c r="B58" i="7"/>
  <c r="A58" i="7"/>
  <c r="A58" i="10" s="1"/>
  <c r="I57" i="7"/>
  <c r="B57" i="7"/>
  <c r="A57" i="7"/>
  <c r="A57" i="10" s="1"/>
  <c r="I56" i="7"/>
  <c r="B56" i="7"/>
  <c r="A56" i="7"/>
  <c r="A56" i="10" s="1"/>
  <c r="I55" i="7"/>
  <c r="B55" i="7"/>
  <c r="A55" i="7"/>
  <c r="A55" i="10" s="1"/>
  <c r="I54" i="7"/>
  <c r="B54" i="7"/>
  <c r="A54" i="7"/>
  <c r="A54" i="10" s="1"/>
  <c r="I53" i="7"/>
  <c r="B53" i="7"/>
  <c r="A53" i="7"/>
  <c r="A53" i="10" s="1"/>
  <c r="I52" i="7"/>
  <c r="B52" i="7"/>
  <c r="A52" i="7"/>
  <c r="A52" i="10" s="1"/>
  <c r="I51" i="7"/>
  <c r="B51" i="7"/>
  <c r="A51" i="7"/>
  <c r="A51" i="10" s="1"/>
  <c r="I50" i="7"/>
  <c r="B50" i="7"/>
  <c r="A50" i="7"/>
  <c r="A50" i="10" s="1"/>
  <c r="B49" i="7"/>
  <c r="A49" i="7"/>
  <c r="A49" i="10" s="1"/>
  <c r="I48" i="7"/>
  <c r="B48" i="7"/>
  <c r="A48" i="7"/>
  <c r="A48" i="10" s="1"/>
  <c r="I47" i="7"/>
  <c r="B47" i="7"/>
  <c r="A47" i="7"/>
  <c r="A47" i="10" s="1"/>
  <c r="B46" i="7"/>
  <c r="A46" i="7"/>
  <c r="A46" i="10" s="1"/>
  <c r="I45" i="7"/>
  <c r="B45" i="7"/>
  <c r="A45" i="7"/>
  <c r="A45" i="10" s="1"/>
  <c r="I44" i="7"/>
  <c r="B44" i="7"/>
  <c r="A44" i="7"/>
  <c r="A44" i="10" s="1"/>
  <c r="I43" i="7"/>
  <c r="B43" i="7"/>
  <c r="A43" i="7"/>
  <c r="A43" i="10" s="1"/>
  <c r="I42" i="7"/>
  <c r="B42" i="7"/>
  <c r="A42" i="7"/>
  <c r="A42" i="10" s="1"/>
  <c r="B41" i="7"/>
  <c r="A41" i="7"/>
  <c r="A41" i="10" s="1"/>
  <c r="I40" i="7"/>
  <c r="B40" i="7"/>
  <c r="A40" i="7"/>
  <c r="A40" i="10" s="1"/>
  <c r="I39" i="7"/>
  <c r="B39" i="7"/>
  <c r="A39" i="7"/>
  <c r="A39" i="10" s="1"/>
  <c r="I38" i="7"/>
  <c r="B38" i="7"/>
  <c r="A38" i="7"/>
  <c r="A38" i="10" s="1"/>
  <c r="I37" i="7"/>
  <c r="B37" i="7"/>
  <c r="A37" i="7"/>
  <c r="A37" i="10" s="1"/>
  <c r="I36" i="7"/>
  <c r="B36" i="7"/>
  <c r="A36" i="7"/>
  <c r="A36" i="10" s="1"/>
  <c r="I35" i="7"/>
  <c r="B35" i="7"/>
  <c r="A35" i="7"/>
  <c r="A35" i="10" s="1"/>
  <c r="I34" i="7"/>
  <c r="B34" i="7"/>
  <c r="A34" i="7"/>
  <c r="A34" i="10" s="1"/>
  <c r="I33" i="7"/>
  <c r="B33" i="7"/>
  <c r="A33" i="7"/>
  <c r="A33" i="10" s="1"/>
  <c r="I32" i="7"/>
  <c r="B32" i="7"/>
  <c r="A32" i="7"/>
  <c r="A32" i="10" s="1"/>
  <c r="I31" i="7"/>
  <c r="B31" i="7"/>
  <c r="A31" i="7"/>
  <c r="A31" i="10" s="1"/>
  <c r="I30" i="7"/>
  <c r="B30" i="7"/>
  <c r="A30" i="7"/>
  <c r="A30" i="10" s="1"/>
  <c r="I29" i="7"/>
  <c r="B29" i="7"/>
  <c r="A29" i="7"/>
  <c r="A29" i="10" s="1"/>
  <c r="I28" i="7"/>
  <c r="B28" i="7"/>
  <c r="A28" i="7"/>
  <c r="A28" i="10" s="1"/>
  <c r="I27" i="7"/>
  <c r="B27" i="7"/>
  <c r="A27" i="7"/>
  <c r="A27" i="10" s="1"/>
  <c r="I26" i="7"/>
  <c r="B26" i="7"/>
  <c r="A26" i="7"/>
  <c r="A26" i="10" s="1"/>
  <c r="B25" i="7"/>
  <c r="A25" i="7"/>
  <c r="A25" i="10" s="1"/>
  <c r="I24" i="7"/>
  <c r="B24" i="7"/>
  <c r="A24" i="7"/>
  <c r="A24" i="10" s="1"/>
  <c r="I23" i="7"/>
  <c r="B23" i="7"/>
  <c r="A23" i="7"/>
  <c r="A23" i="10" s="1"/>
  <c r="I22" i="7"/>
  <c r="B22" i="7"/>
  <c r="A22" i="7"/>
  <c r="A22" i="10" s="1"/>
  <c r="I21" i="7"/>
  <c r="B21" i="7"/>
  <c r="A21" i="7"/>
  <c r="A21" i="10" s="1"/>
  <c r="I20" i="7"/>
  <c r="B20" i="7"/>
  <c r="A20" i="7"/>
  <c r="A20" i="10" s="1"/>
  <c r="I19" i="7"/>
  <c r="B19" i="7"/>
  <c r="A19" i="7"/>
  <c r="A19" i="10" s="1"/>
  <c r="I18" i="7"/>
  <c r="B18" i="7"/>
  <c r="A18" i="7"/>
  <c r="A18" i="10" s="1"/>
  <c r="I17" i="7"/>
  <c r="B17" i="7"/>
  <c r="A17" i="7"/>
  <c r="A17" i="10" s="1"/>
  <c r="I16" i="7"/>
  <c r="B16" i="7"/>
  <c r="A16" i="7"/>
  <c r="A16" i="10" s="1"/>
  <c r="I15" i="7"/>
  <c r="B15" i="7"/>
  <c r="A15" i="7"/>
  <c r="A15" i="10" s="1"/>
  <c r="I14" i="7"/>
  <c r="B14" i="7"/>
  <c r="A14" i="7"/>
  <c r="A14" i="10" s="1"/>
  <c r="I13" i="7"/>
  <c r="B13" i="7"/>
  <c r="A13" i="7"/>
  <c r="A13" i="10" s="1"/>
  <c r="I12" i="7"/>
  <c r="B12" i="7"/>
  <c r="A12" i="7"/>
  <c r="A12" i="10" s="1"/>
  <c r="I11" i="7"/>
  <c r="B11" i="7"/>
  <c r="A11" i="7"/>
  <c r="A11" i="10" s="1"/>
  <c r="I10" i="7"/>
  <c r="B10" i="7"/>
  <c r="A10" i="7"/>
  <c r="A10" i="10" s="1"/>
  <c r="I9" i="7"/>
  <c r="B9" i="7"/>
  <c r="A9" i="7"/>
  <c r="A9" i="10" s="1"/>
  <c r="I8" i="7"/>
  <c r="B8" i="7"/>
  <c r="A8" i="7"/>
  <c r="A8" i="10" s="1"/>
  <c r="I7" i="7"/>
  <c r="B7" i="7"/>
  <c r="A7" i="7"/>
  <c r="A7" i="10" s="1"/>
  <c r="I6" i="7"/>
  <c r="B6" i="7"/>
  <c r="A6" i="7"/>
  <c r="A6" i="10" s="1"/>
  <c r="B9" i="6"/>
  <c r="C138" i="5"/>
  <c r="B138" i="5"/>
  <c r="A138" i="5"/>
  <c r="C137" i="5"/>
  <c r="B137" i="5"/>
  <c r="A137" i="5"/>
  <c r="C136" i="5"/>
  <c r="B136" i="5"/>
  <c r="A136" i="5"/>
  <c r="C135" i="5"/>
  <c r="B135" i="5"/>
  <c r="A135" i="5"/>
  <c r="C134" i="5"/>
  <c r="B134" i="5"/>
  <c r="A134" i="5"/>
  <c r="C133" i="5"/>
  <c r="B133" i="5"/>
  <c r="A133" i="5"/>
  <c r="C132" i="5"/>
  <c r="B132" i="5"/>
  <c r="A132" i="5"/>
  <c r="C131" i="5"/>
  <c r="B131" i="5"/>
  <c r="A131" i="5"/>
  <c r="C130" i="5"/>
  <c r="B130" i="5"/>
  <c r="A130" i="5"/>
  <c r="C129" i="5"/>
  <c r="B129" i="5"/>
  <c r="A129" i="5"/>
  <c r="C128" i="5"/>
  <c r="B128" i="5"/>
  <c r="A128" i="5"/>
  <c r="C127" i="5"/>
  <c r="B127" i="5"/>
  <c r="A127" i="5"/>
  <c r="C126" i="5"/>
  <c r="B126" i="5"/>
  <c r="A126" i="5"/>
  <c r="C125" i="5"/>
  <c r="B125" i="5"/>
  <c r="A125" i="5"/>
  <c r="C124" i="5"/>
  <c r="B124" i="5"/>
  <c r="A124" i="5"/>
  <c r="C123" i="5"/>
  <c r="B123" i="5"/>
  <c r="A123" i="5"/>
  <c r="C122" i="5"/>
  <c r="B122" i="5"/>
  <c r="A122" i="5"/>
  <c r="C121" i="5"/>
  <c r="B121" i="5"/>
  <c r="A121" i="5"/>
  <c r="C120" i="5"/>
  <c r="B120" i="5"/>
  <c r="A120" i="5"/>
  <c r="C119" i="5"/>
  <c r="B119" i="5"/>
  <c r="A119" i="5"/>
  <c r="C118" i="5"/>
  <c r="B118" i="5"/>
  <c r="A118" i="5"/>
  <c r="C117" i="5"/>
  <c r="B117" i="5"/>
  <c r="A117" i="5"/>
  <c r="C116" i="5"/>
  <c r="B116" i="5"/>
  <c r="A116" i="5"/>
  <c r="C115" i="5"/>
  <c r="B115" i="5"/>
  <c r="A115" i="5"/>
  <c r="C114" i="5"/>
  <c r="B114" i="5"/>
  <c r="A114" i="5"/>
  <c r="C113" i="5"/>
  <c r="B113" i="5"/>
  <c r="A113" i="5"/>
  <c r="C112" i="5"/>
  <c r="B112" i="5"/>
  <c r="A112" i="5"/>
  <c r="C111" i="5"/>
  <c r="B111" i="5"/>
  <c r="A111" i="5"/>
  <c r="C110" i="5"/>
  <c r="B110" i="5"/>
  <c r="A110" i="5"/>
  <c r="C109" i="5"/>
  <c r="B109" i="5"/>
  <c r="A109" i="5"/>
  <c r="C108" i="5"/>
  <c r="B108" i="5"/>
  <c r="A108" i="5"/>
  <c r="C107" i="5"/>
  <c r="B107" i="5"/>
  <c r="A107" i="5"/>
  <c r="C106" i="5"/>
  <c r="B106" i="5"/>
  <c r="A106" i="5"/>
  <c r="C105" i="5"/>
  <c r="B105" i="5"/>
  <c r="A105" i="5"/>
  <c r="C104" i="5"/>
  <c r="B104" i="5"/>
  <c r="A104" i="5"/>
  <c r="C103" i="5"/>
  <c r="B103" i="5"/>
  <c r="A103" i="5"/>
  <c r="C102" i="5"/>
  <c r="B102" i="5"/>
  <c r="A102" i="5"/>
  <c r="C101" i="5"/>
  <c r="B101" i="5"/>
  <c r="A101" i="5"/>
  <c r="C100" i="5"/>
  <c r="B100" i="5"/>
  <c r="A100" i="5"/>
  <c r="C99" i="5"/>
  <c r="B99" i="5"/>
  <c r="A99" i="5"/>
  <c r="C98" i="5"/>
  <c r="B98" i="5"/>
  <c r="A98" i="5"/>
  <c r="C97" i="5"/>
  <c r="B97" i="5"/>
  <c r="A97" i="5"/>
  <c r="C96" i="5"/>
  <c r="B96" i="5"/>
  <c r="A96" i="5"/>
  <c r="C95" i="5"/>
  <c r="B95" i="5"/>
  <c r="A95" i="5"/>
  <c r="C94" i="5"/>
  <c r="B94" i="5"/>
  <c r="A94" i="5"/>
  <c r="C93" i="5"/>
  <c r="B93" i="5"/>
  <c r="A93" i="5"/>
  <c r="C92" i="5"/>
  <c r="B92" i="5"/>
  <c r="A92" i="5"/>
  <c r="C91" i="5"/>
  <c r="B91" i="5"/>
  <c r="A91" i="5"/>
  <c r="C90" i="5"/>
  <c r="B90" i="5"/>
  <c r="A90" i="5"/>
  <c r="C89" i="5"/>
  <c r="B89" i="5"/>
  <c r="A89" i="5"/>
  <c r="C88" i="5"/>
  <c r="B88" i="5"/>
  <c r="A88" i="5"/>
  <c r="C87" i="5"/>
  <c r="B87" i="5"/>
  <c r="A87" i="5"/>
  <c r="C86" i="5"/>
  <c r="B86" i="5"/>
  <c r="A86" i="5"/>
  <c r="C85" i="5"/>
  <c r="B85" i="5"/>
  <c r="A85" i="5"/>
  <c r="C84" i="5"/>
  <c r="B84" i="5"/>
  <c r="A84" i="5"/>
  <c r="C83" i="5"/>
  <c r="B83" i="5"/>
  <c r="A83" i="5"/>
  <c r="C82" i="5"/>
  <c r="B82" i="5"/>
  <c r="A82" i="5"/>
  <c r="C81" i="5"/>
  <c r="B81" i="5"/>
  <c r="A81" i="5"/>
  <c r="C80" i="5"/>
  <c r="B80" i="5"/>
  <c r="A80" i="5"/>
  <c r="C79" i="5"/>
  <c r="B79" i="5"/>
  <c r="A79" i="5"/>
  <c r="C78" i="5"/>
  <c r="B78" i="5"/>
  <c r="A78" i="5"/>
  <c r="C77" i="5"/>
  <c r="B77" i="5"/>
  <c r="A77" i="5"/>
  <c r="C76" i="5"/>
  <c r="B76" i="5"/>
  <c r="A76" i="5"/>
  <c r="C75" i="5"/>
  <c r="B75" i="5"/>
  <c r="A75" i="5"/>
  <c r="C74" i="5"/>
  <c r="B74" i="5"/>
  <c r="A74" i="5"/>
  <c r="C73" i="5"/>
  <c r="B73" i="5"/>
  <c r="A73" i="5"/>
  <c r="C72" i="5"/>
  <c r="B72" i="5"/>
  <c r="A72" i="5"/>
  <c r="C71" i="5"/>
  <c r="B71" i="5"/>
  <c r="A71" i="5"/>
  <c r="C70" i="5"/>
  <c r="B70" i="5"/>
  <c r="A70" i="5"/>
  <c r="C69" i="5"/>
  <c r="B69" i="5"/>
  <c r="A69" i="5"/>
  <c r="C68" i="5"/>
  <c r="B68" i="5"/>
  <c r="A68" i="5"/>
  <c r="C67" i="5"/>
  <c r="B67" i="5"/>
  <c r="A67" i="5"/>
  <c r="C66" i="5"/>
  <c r="B66" i="5"/>
  <c r="A66" i="5"/>
  <c r="C65" i="5"/>
  <c r="B65" i="5"/>
  <c r="A65" i="5"/>
  <c r="C64" i="5"/>
  <c r="B64" i="5"/>
  <c r="A64" i="5"/>
  <c r="C63" i="5"/>
  <c r="B63" i="5"/>
  <c r="A63" i="5"/>
  <c r="C62" i="5"/>
  <c r="B62" i="5"/>
  <c r="A62" i="5"/>
  <c r="C61" i="5"/>
  <c r="B61" i="5"/>
  <c r="A61" i="5"/>
  <c r="C60" i="5"/>
  <c r="B60" i="5"/>
  <c r="A60" i="5"/>
  <c r="C59" i="5"/>
  <c r="B59" i="5"/>
  <c r="A59" i="5"/>
  <c r="C58" i="5"/>
  <c r="B58" i="5"/>
  <c r="A58" i="5"/>
  <c r="C57" i="5"/>
  <c r="B57" i="5"/>
  <c r="A57" i="5"/>
  <c r="C56" i="5"/>
  <c r="B56" i="5"/>
  <c r="A56" i="5"/>
  <c r="C55" i="5"/>
  <c r="B55" i="5"/>
  <c r="A55" i="5"/>
  <c r="C54" i="5"/>
  <c r="B54" i="5"/>
  <c r="A54" i="5"/>
  <c r="C53" i="5"/>
  <c r="B53" i="5"/>
  <c r="A53" i="5"/>
  <c r="C52" i="5"/>
  <c r="B52" i="5"/>
  <c r="A52" i="5"/>
  <c r="C51" i="5"/>
  <c r="B51" i="5"/>
  <c r="A51" i="5"/>
  <c r="C50" i="5"/>
  <c r="B50" i="5"/>
  <c r="A50" i="5"/>
  <c r="C49" i="5"/>
  <c r="B49" i="5"/>
  <c r="A49" i="5"/>
  <c r="C48" i="5"/>
  <c r="B48" i="5"/>
  <c r="A48" i="5"/>
  <c r="C47" i="5"/>
  <c r="B47" i="5"/>
  <c r="A47" i="5"/>
  <c r="C46" i="5"/>
  <c r="B46" i="5"/>
  <c r="A46" i="5"/>
  <c r="C45" i="5"/>
  <c r="B45" i="5"/>
  <c r="A45" i="5"/>
  <c r="C44" i="5"/>
  <c r="B44" i="5"/>
  <c r="A44" i="5"/>
  <c r="C43" i="5"/>
  <c r="B43" i="5"/>
  <c r="A43" i="5"/>
  <c r="C42" i="5"/>
  <c r="B42" i="5"/>
  <c r="A42" i="5"/>
  <c r="C41" i="5"/>
  <c r="B41" i="5"/>
  <c r="A41" i="5"/>
  <c r="C40" i="5"/>
  <c r="B40" i="5"/>
  <c r="A40" i="5"/>
  <c r="C39" i="5"/>
  <c r="B39" i="5"/>
  <c r="A39" i="5"/>
  <c r="C38" i="5"/>
  <c r="B38" i="5"/>
  <c r="A38" i="5"/>
  <c r="C37" i="5"/>
  <c r="B37" i="5"/>
  <c r="A37" i="5"/>
  <c r="C36" i="5"/>
  <c r="B36" i="5"/>
  <c r="A36" i="5"/>
  <c r="C35" i="5"/>
  <c r="B35" i="5"/>
  <c r="A35" i="5"/>
  <c r="C34" i="5"/>
  <c r="B34" i="5"/>
  <c r="A34" i="5"/>
  <c r="C33" i="5"/>
  <c r="B33" i="5"/>
  <c r="A33" i="5"/>
  <c r="C32" i="5"/>
  <c r="B32" i="5"/>
  <c r="A32" i="5"/>
  <c r="C31" i="5"/>
  <c r="B31" i="5"/>
  <c r="A31" i="5"/>
  <c r="C30" i="5"/>
  <c r="B30" i="5"/>
  <c r="A30" i="5"/>
  <c r="C29" i="5"/>
  <c r="B29" i="5"/>
  <c r="A29" i="5"/>
  <c r="C28" i="5"/>
  <c r="B28" i="5"/>
  <c r="A28" i="5"/>
  <c r="C27" i="5"/>
  <c r="B27" i="5"/>
  <c r="A27" i="5"/>
  <c r="C26" i="5"/>
  <c r="B26" i="5"/>
  <c r="A26" i="5"/>
  <c r="C25" i="5"/>
  <c r="B25" i="5"/>
  <c r="A25" i="5"/>
  <c r="C24" i="5"/>
  <c r="B24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C19" i="5"/>
  <c r="B19" i="5"/>
  <c r="A19" i="5"/>
  <c r="C18" i="5"/>
  <c r="B18" i="5"/>
  <c r="A18" i="5"/>
  <c r="C17" i="5"/>
  <c r="B17" i="5"/>
  <c r="A17" i="5"/>
  <c r="C16" i="5"/>
  <c r="B16" i="5"/>
  <c r="A16" i="5"/>
  <c r="C15" i="5"/>
  <c r="B15" i="5"/>
  <c r="A15" i="5"/>
  <c r="C14" i="5"/>
  <c r="B14" i="5"/>
  <c r="A14" i="5"/>
  <c r="C13" i="5"/>
  <c r="B13" i="5"/>
  <c r="A13" i="5"/>
  <c r="C12" i="5"/>
  <c r="B12" i="5"/>
  <c r="A12" i="5"/>
  <c r="C11" i="5"/>
  <c r="B11" i="5"/>
  <c r="A11" i="5"/>
  <c r="C10" i="5"/>
  <c r="B10" i="5"/>
  <c r="A10" i="5"/>
  <c r="C9" i="5"/>
  <c r="B9" i="5"/>
  <c r="A9" i="5"/>
  <c r="C8" i="5"/>
  <c r="B8" i="5"/>
  <c r="A8" i="5"/>
  <c r="C7" i="5"/>
  <c r="B7" i="5"/>
  <c r="A7" i="5"/>
  <c r="C6" i="5"/>
  <c r="B6" i="5"/>
  <c r="A6" i="5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F138" i="3"/>
  <c r="E138" i="3"/>
  <c r="D138" i="3"/>
  <c r="C138" i="3"/>
  <c r="I137" i="3"/>
  <c r="H137" i="3"/>
  <c r="G137" i="3"/>
  <c r="I136" i="3"/>
  <c r="H136" i="3"/>
  <c r="G136" i="3"/>
  <c r="I135" i="3"/>
  <c r="H135" i="3"/>
  <c r="G135" i="3"/>
  <c r="I134" i="3"/>
  <c r="H134" i="3"/>
  <c r="G134" i="3"/>
  <c r="I133" i="3"/>
  <c r="H133" i="3"/>
  <c r="G133" i="3"/>
  <c r="I132" i="3"/>
  <c r="H132" i="3"/>
  <c r="G132" i="3"/>
  <c r="I131" i="3"/>
  <c r="H131" i="3"/>
  <c r="G131" i="3"/>
  <c r="I130" i="3"/>
  <c r="H130" i="3"/>
  <c r="G130" i="3"/>
  <c r="I129" i="3"/>
  <c r="H129" i="3"/>
  <c r="G129" i="3"/>
  <c r="I128" i="3"/>
  <c r="H128" i="3"/>
  <c r="G128" i="3"/>
  <c r="I127" i="3"/>
  <c r="H127" i="3"/>
  <c r="G127" i="3"/>
  <c r="I126" i="3"/>
  <c r="H126" i="3"/>
  <c r="G126" i="3"/>
  <c r="I125" i="3"/>
  <c r="H125" i="3"/>
  <c r="G125" i="3"/>
  <c r="I124" i="3"/>
  <c r="H124" i="3"/>
  <c r="G124" i="3"/>
  <c r="I123" i="3"/>
  <c r="H123" i="3"/>
  <c r="G123" i="3"/>
  <c r="I122" i="3"/>
  <c r="H122" i="3"/>
  <c r="G122" i="3"/>
  <c r="I121" i="3"/>
  <c r="H121" i="3"/>
  <c r="G121" i="3"/>
  <c r="I120" i="3"/>
  <c r="H120" i="3"/>
  <c r="G120" i="3"/>
  <c r="I119" i="3"/>
  <c r="H119" i="3"/>
  <c r="G119" i="3"/>
  <c r="I118" i="3"/>
  <c r="H118" i="3"/>
  <c r="G118" i="3"/>
  <c r="I117" i="3"/>
  <c r="H117" i="3"/>
  <c r="G117" i="3"/>
  <c r="I116" i="3"/>
  <c r="H116" i="3"/>
  <c r="G116" i="3"/>
  <c r="I115" i="3"/>
  <c r="H115" i="3"/>
  <c r="G115" i="3"/>
  <c r="I114" i="3"/>
  <c r="H114" i="3"/>
  <c r="G114" i="3"/>
  <c r="I113" i="3"/>
  <c r="H113" i="3"/>
  <c r="G113" i="3"/>
  <c r="I112" i="3"/>
  <c r="H112" i="3"/>
  <c r="G112" i="3"/>
  <c r="I111" i="3"/>
  <c r="H111" i="3"/>
  <c r="G111" i="3"/>
  <c r="I110" i="3"/>
  <c r="H110" i="3"/>
  <c r="G110" i="3"/>
  <c r="I109" i="3"/>
  <c r="H109" i="3"/>
  <c r="G109" i="3"/>
  <c r="I108" i="3"/>
  <c r="H108" i="3"/>
  <c r="G108" i="3"/>
  <c r="I107" i="3"/>
  <c r="H107" i="3"/>
  <c r="G107" i="3"/>
  <c r="I106" i="3"/>
  <c r="H106" i="3"/>
  <c r="G106" i="3"/>
  <c r="I105" i="3"/>
  <c r="H105" i="3"/>
  <c r="G105" i="3"/>
  <c r="I104" i="3"/>
  <c r="H104" i="3"/>
  <c r="G104" i="3"/>
  <c r="I103" i="3"/>
  <c r="H103" i="3"/>
  <c r="G103" i="3"/>
  <c r="I102" i="3"/>
  <c r="H102" i="3"/>
  <c r="G102" i="3"/>
  <c r="I101" i="3"/>
  <c r="H101" i="3"/>
  <c r="G101" i="3"/>
  <c r="I100" i="3"/>
  <c r="H100" i="3"/>
  <c r="G100" i="3"/>
  <c r="I99" i="3"/>
  <c r="H99" i="3"/>
  <c r="G99" i="3"/>
  <c r="I98" i="3"/>
  <c r="H98" i="3"/>
  <c r="G98" i="3"/>
  <c r="I97" i="3"/>
  <c r="H97" i="3"/>
  <c r="G97" i="3"/>
  <c r="I96" i="3"/>
  <c r="H96" i="3"/>
  <c r="G96" i="3"/>
  <c r="I95" i="3"/>
  <c r="H95" i="3"/>
  <c r="G95" i="3"/>
  <c r="I94" i="3"/>
  <c r="H94" i="3"/>
  <c r="G94" i="3"/>
  <c r="I93" i="3"/>
  <c r="H93" i="3"/>
  <c r="G93" i="3"/>
  <c r="I92" i="3"/>
  <c r="H92" i="3"/>
  <c r="G92" i="3"/>
  <c r="I91" i="3"/>
  <c r="H91" i="3"/>
  <c r="G91" i="3"/>
  <c r="I90" i="3"/>
  <c r="H90" i="3"/>
  <c r="G90" i="3"/>
  <c r="I89" i="3"/>
  <c r="H89" i="3"/>
  <c r="G89" i="3"/>
  <c r="I88" i="3"/>
  <c r="H88" i="3"/>
  <c r="G88" i="3"/>
  <c r="I87" i="3"/>
  <c r="H87" i="3"/>
  <c r="G87" i="3"/>
  <c r="I86" i="3"/>
  <c r="H86" i="3"/>
  <c r="G86" i="3"/>
  <c r="I85" i="3"/>
  <c r="H85" i="3"/>
  <c r="G85" i="3"/>
  <c r="I84" i="3"/>
  <c r="H84" i="3"/>
  <c r="G84" i="3"/>
  <c r="I83" i="3"/>
  <c r="H83" i="3"/>
  <c r="G83" i="3"/>
  <c r="I82" i="3"/>
  <c r="H82" i="3"/>
  <c r="G82" i="3"/>
  <c r="I81" i="3"/>
  <c r="H81" i="3"/>
  <c r="G81" i="3"/>
  <c r="I80" i="3"/>
  <c r="H80" i="3"/>
  <c r="G80" i="3"/>
  <c r="I79" i="3"/>
  <c r="H79" i="3"/>
  <c r="G79" i="3"/>
  <c r="I78" i="3"/>
  <c r="H78" i="3"/>
  <c r="G78" i="3"/>
  <c r="I77" i="3"/>
  <c r="H77" i="3"/>
  <c r="G77" i="3"/>
  <c r="I76" i="3"/>
  <c r="H76" i="3"/>
  <c r="G76" i="3"/>
  <c r="I75" i="3"/>
  <c r="H75" i="3"/>
  <c r="G75" i="3"/>
  <c r="I74" i="3"/>
  <c r="H74" i="3"/>
  <c r="G74" i="3"/>
  <c r="I73" i="3"/>
  <c r="H73" i="3"/>
  <c r="G73" i="3"/>
  <c r="I72" i="3"/>
  <c r="H72" i="3"/>
  <c r="G72" i="3"/>
  <c r="I71" i="3"/>
  <c r="H71" i="3"/>
  <c r="G71" i="3"/>
  <c r="I70" i="3"/>
  <c r="H70" i="3"/>
  <c r="G70" i="3"/>
  <c r="I69" i="3"/>
  <c r="H69" i="3"/>
  <c r="G69" i="3"/>
  <c r="I68" i="3"/>
  <c r="H68" i="3"/>
  <c r="G68" i="3"/>
  <c r="I67" i="3"/>
  <c r="H67" i="3"/>
  <c r="G67" i="3"/>
  <c r="I66" i="3"/>
  <c r="H66" i="3"/>
  <c r="G66" i="3"/>
  <c r="I65" i="3"/>
  <c r="H65" i="3"/>
  <c r="G65" i="3"/>
  <c r="I64" i="3"/>
  <c r="H64" i="3"/>
  <c r="G64" i="3"/>
  <c r="I63" i="3"/>
  <c r="H63" i="3"/>
  <c r="G63" i="3"/>
  <c r="I62" i="3"/>
  <c r="H62" i="3"/>
  <c r="G62" i="3"/>
  <c r="I61" i="3"/>
  <c r="H61" i="3"/>
  <c r="G61" i="3"/>
  <c r="I60" i="3"/>
  <c r="H60" i="3"/>
  <c r="G60" i="3"/>
  <c r="I59" i="3"/>
  <c r="H59" i="3"/>
  <c r="G59" i="3"/>
  <c r="I58" i="3"/>
  <c r="H58" i="3"/>
  <c r="G58" i="3"/>
  <c r="I57" i="3"/>
  <c r="H57" i="3"/>
  <c r="G57" i="3"/>
  <c r="I56" i="3"/>
  <c r="H56" i="3"/>
  <c r="G56" i="3"/>
  <c r="I55" i="3"/>
  <c r="H55" i="3"/>
  <c r="G55" i="3"/>
  <c r="I54" i="3"/>
  <c r="H54" i="3"/>
  <c r="G54" i="3"/>
  <c r="I53" i="3"/>
  <c r="H53" i="3"/>
  <c r="G53" i="3"/>
  <c r="I52" i="3"/>
  <c r="H52" i="3"/>
  <c r="G52" i="3"/>
  <c r="I51" i="3"/>
  <c r="H51" i="3"/>
  <c r="G51" i="3"/>
  <c r="I50" i="3"/>
  <c r="H50" i="3"/>
  <c r="G50" i="3"/>
  <c r="I49" i="3"/>
  <c r="H49" i="3"/>
  <c r="G49" i="3"/>
  <c r="I48" i="3"/>
  <c r="H48" i="3"/>
  <c r="G48" i="3"/>
  <c r="I47" i="3"/>
  <c r="H47" i="3"/>
  <c r="G47" i="3"/>
  <c r="I46" i="3"/>
  <c r="H46" i="3"/>
  <c r="G46" i="3"/>
  <c r="I45" i="3"/>
  <c r="H45" i="3"/>
  <c r="G45" i="3"/>
  <c r="I44" i="3"/>
  <c r="H44" i="3"/>
  <c r="G44" i="3"/>
  <c r="I43" i="3"/>
  <c r="H43" i="3"/>
  <c r="G43" i="3"/>
  <c r="I42" i="3"/>
  <c r="H42" i="3"/>
  <c r="G42" i="3"/>
  <c r="I41" i="3"/>
  <c r="H41" i="3"/>
  <c r="G41" i="3"/>
  <c r="I40" i="3"/>
  <c r="H40" i="3"/>
  <c r="G40" i="3"/>
  <c r="I39" i="3"/>
  <c r="H39" i="3"/>
  <c r="G39" i="3"/>
  <c r="I38" i="3"/>
  <c r="H38" i="3"/>
  <c r="G38" i="3"/>
  <c r="I37" i="3"/>
  <c r="H37" i="3"/>
  <c r="G37" i="3"/>
  <c r="I36" i="3"/>
  <c r="H36" i="3"/>
  <c r="G36" i="3"/>
  <c r="I35" i="3"/>
  <c r="H35" i="3"/>
  <c r="G35" i="3"/>
  <c r="I34" i="3"/>
  <c r="H34" i="3"/>
  <c r="G34" i="3"/>
  <c r="I33" i="3"/>
  <c r="H33" i="3"/>
  <c r="G33" i="3"/>
  <c r="I32" i="3"/>
  <c r="H32" i="3"/>
  <c r="G32" i="3"/>
  <c r="I31" i="3"/>
  <c r="H31" i="3"/>
  <c r="G31" i="3"/>
  <c r="I30" i="3"/>
  <c r="H30" i="3"/>
  <c r="G30" i="3"/>
  <c r="I29" i="3"/>
  <c r="H29" i="3"/>
  <c r="G29" i="3"/>
  <c r="I28" i="3"/>
  <c r="H28" i="3"/>
  <c r="G28" i="3"/>
  <c r="I27" i="3"/>
  <c r="H27" i="3"/>
  <c r="G27" i="3"/>
  <c r="I26" i="3"/>
  <c r="H26" i="3"/>
  <c r="G26" i="3"/>
  <c r="I25" i="3"/>
  <c r="H25" i="3"/>
  <c r="G25" i="3"/>
  <c r="I24" i="3"/>
  <c r="H24" i="3"/>
  <c r="G24" i="3"/>
  <c r="I23" i="3"/>
  <c r="H23" i="3"/>
  <c r="G23" i="3"/>
  <c r="I22" i="3"/>
  <c r="H22" i="3"/>
  <c r="G22" i="3"/>
  <c r="I21" i="3"/>
  <c r="H21" i="3"/>
  <c r="G21" i="3"/>
  <c r="I20" i="3"/>
  <c r="H20" i="3"/>
  <c r="G20" i="3"/>
  <c r="I19" i="3"/>
  <c r="H19" i="3"/>
  <c r="G19" i="3"/>
  <c r="I18" i="3"/>
  <c r="H18" i="3"/>
  <c r="G18" i="3"/>
  <c r="I17" i="3"/>
  <c r="H17" i="3"/>
  <c r="G17" i="3"/>
  <c r="I16" i="3"/>
  <c r="H16" i="3"/>
  <c r="G16" i="3"/>
  <c r="I15" i="3"/>
  <c r="H15" i="3"/>
  <c r="G15" i="3"/>
  <c r="I14" i="3"/>
  <c r="H14" i="3"/>
  <c r="G14" i="3"/>
  <c r="I13" i="3"/>
  <c r="H13" i="3"/>
  <c r="G13" i="3"/>
  <c r="I12" i="3"/>
  <c r="H12" i="3"/>
  <c r="G12" i="3"/>
  <c r="I11" i="3"/>
  <c r="H11" i="3"/>
  <c r="G11" i="3"/>
  <c r="I10" i="3"/>
  <c r="H10" i="3"/>
  <c r="G10" i="3"/>
  <c r="I9" i="3"/>
  <c r="H9" i="3"/>
  <c r="G9" i="3"/>
  <c r="I8" i="3"/>
  <c r="H8" i="3"/>
  <c r="G8" i="3"/>
  <c r="I7" i="3"/>
  <c r="H7" i="3"/>
  <c r="G7" i="3"/>
  <c r="I6" i="3"/>
  <c r="H6" i="3"/>
  <c r="G6" i="3"/>
  <c r="I5" i="3"/>
  <c r="H5" i="3"/>
  <c r="G5" i="3"/>
  <c r="B20" i="2"/>
  <c r="B19" i="2"/>
  <c r="B24" i="2" s="1"/>
  <c r="E14" i="2"/>
  <c r="C14" i="2"/>
  <c r="E8" i="2"/>
  <c r="C8" i="2"/>
  <c r="C7" i="2"/>
  <c r="D7" i="2" s="1"/>
  <c r="E7" i="2" s="1"/>
  <c r="C6" i="2"/>
  <c r="D6" i="2" s="1"/>
  <c r="E6" i="2" s="1"/>
  <c r="C5" i="2"/>
  <c r="D5" i="2" s="1"/>
  <c r="E5" i="2" s="1"/>
  <c r="C13" i="2" l="1"/>
  <c r="D13" i="2" s="1"/>
  <c r="E13" i="2" s="1"/>
  <c r="C12" i="2"/>
  <c r="D12" i="2" s="1"/>
  <c r="E12" i="2" s="1"/>
  <c r="C11" i="2"/>
  <c r="D11" i="2" s="1"/>
  <c r="E11" i="2" s="1"/>
  <c r="C10" i="2"/>
  <c r="D10" i="2" s="1"/>
  <c r="E10" i="2" s="1"/>
  <c r="C9" i="2"/>
  <c r="D9" i="2" s="1"/>
  <c r="E9" i="2" s="1"/>
  <c r="B21" i="2"/>
  <c r="G138" i="3"/>
  <c r="T5" i="3"/>
  <c r="S5" i="3"/>
  <c r="R5" i="3"/>
  <c r="Q5" i="3"/>
  <c r="P5" i="3"/>
  <c r="O5" i="3"/>
  <c r="N5" i="3"/>
  <c r="M5" i="3"/>
  <c r="L5" i="3"/>
  <c r="K5" i="3"/>
  <c r="C5" i="4"/>
  <c r="H138" i="3"/>
  <c r="J5" i="3"/>
  <c r="D5" i="4" s="1"/>
  <c r="D6" i="5" s="1"/>
  <c r="H6" i="5" s="1"/>
  <c r="T6" i="3"/>
  <c r="S6" i="3"/>
  <c r="R6" i="3"/>
  <c r="Q6" i="3"/>
  <c r="P6" i="3"/>
  <c r="O6" i="3"/>
  <c r="N6" i="3"/>
  <c r="M6" i="3"/>
  <c r="L6" i="3"/>
  <c r="K6" i="3"/>
  <c r="C6" i="4"/>
  <c r="J6" i="3"/>
  <c r="D6" i="4" s="1"/>
  <c r="D7" i="5" s="1"/>
  <c r="H7" i="5" s="1"/>
  <c r="T7" i="3"/>
  <c r="S7" i="3"/>
  <c r="R7" i="3"/>
  <c r="Q7" i="3"/>
  <c r="P7" i="3"/>
  <c r="O7" i="3"/>
  <c r="N7" i="3"/>
  <c r="M7" i="3"/>
  <c r="L7" i="3"/>
  <c r="K7" i="3"/>
  <c r="C7" i="4"/>
  <c r="J7" i="3"/>
  <c r="D7" i="4" s="1"/>
  <c r="D8" i="5" s="1"/>
  <c r="H8" i="5" s="1"/>
  <c r="T8" i="3"/>
  <c r="S8" i="3"/>
  <c r="R8" i="3"/>
  <c r="Q8" i="3"/>
  <c r="P8" i="3"/>
  <c r="O8" i="3"/>
  <c r="N8" i="3"/>
  <c r="M8" i="3"/>
  <c r="L8" i="3"/>
  <c r="K8" i="3"/>
  <c r="C8" i="4"/>
  <c r="J8" i="3"/>
  <c r="D8" i="4" s="1"/>
  <c r="D9" i="5" s="1"/>
  <c r="H9" i="5" s="1"/>
  <c r="T9" i="3"/>
  <c r="S9" i="3"/>
  <c r="R9" i="3"/>
  <c r="Q9" i="3"/>
  <c r="P9" i="3"/>
  <c r="O9" i="3"/>
  <c r="N9" i="3"/>
  <c r="M9" i="3"/>
  <c r="L9" i="3"/>
  <c r="K9" i="3"/>
  <c r="C9" i="4"/>
  <c r="J9" i="3"/>
  <c r="D9" i="4" s="1"/>
  <c r="D10" i="5" s="1"/>
  <c r="H10" i="5" s="1"/>
  <c r="T10" i="3"/>
  <c r="S10" i="3"/>
  <c r="R10" i="3"/>
  <c r="Q10" i="3"/>
  <c r="P10" i="3"/>
  <c r="O10" i="3"/>
  <c r="N10" i="3"/>
  <c r="M10" i="3"/>
  <c r="L10" i="3"/>
  <c r="K10" i="3"/>
  <c r="C10" i="4"/>
  <c r="J10" i="3"/>
  <c r="D10" i="4" s="1"/>
  <c r="D11" i="5" s="1"/>
  <c r="H11" i="5" s="1"/>
  <c r="T11" i="3"/>
  <c r="S11" i="3"/>
  <c r="R11" i="3"/>
  <c r="Q11" i="3"/>
  <c r="P11" i="3"/>
  <c r="O11" i="3"/>
  <c r="N11" i="3"/>
  <c r="M11" i="3"/>
  <c r="L11" i="3"/>
  <c r="K11" i="3"/>
  <c r="C11" i="4"/>
  <c r="J11" i="3"/>
  <c r="D11" i="4" s="1"/>
  <c r="D12" i="5" s="1"/>
  <c r="H12" i="5" s="1"/>
  <c r="T12" i="3"/>
  <c r="S12" i="3"/>
  <c r="R12" i="3"/>
  <c r="Q12" i="3"/>
  <c r="P12" i="3"/>
  <c r="O12" i="3"/>
  <c r="N12" i="3"/>
  <c r="M12" i="3"/>
  <c r="L12" i="3"/>
  <c r="K12" i="3"/>
  <c r="C12" i="4"/>
  <c r="J12" i="3"/>
  <c r="D12" i="4" s="1"/>
  <c r="D13" i="5" s="1"/>
  <c r="H13" i="5" s="1"/>
  <c r="T13" i="3"/>
  <c r="S13" i="3"/>
  <c r="R13" i="3"/>
  <c r="Q13" i="3"/>
  <c r="P13" i="3"/>
  <c r="O13" i="3"/>
  <c r="N13" i="3"/>
  <c r="M13" i="3"/>
  <c r="L13" i="3"/>
  <c r="K13" i="3"/>
  <c r="C13" i="4"/>
  <c r="J13" i="3"/>
  <c r="D13" i="4" s="1"/>
  <c r="D14" i="5" s="1"/>
  <c r="H14" i="5" s="1"/>
  <c r="T14" i="3"/>
  <c r="S14" i="3"/>
  <c r="R14" i="3"/>
  <c r="Q14" i="3"/>
  <c r="P14" i="3"/>
  <c r="O14" i="3"/>
  <c r="N14" i="3"/>
  <c r="M14" i="3"/>
  <c r="L14" i="3"/>
  <c r="K14" i="3"/>
  <c r="C14" i="4"/>
  <c r="J14" i="3"/>
  <c r="D14" i="4" s="1"/>
  <c r="D15" i="5" s="1"/>
  <c r="H15" i="5" s="1"/>
  <c r="T15" i="3"/>
  <c r="S15" i="3"/>
  <c r="R15" i="3"/>
  <c r="Q15" i="3"/>
  <c r="P15" i="3"/>
  <c r="O15" i="3"/>
  <c r="N15" i="3"/>
  <c r="M15" i="3"/>
  <c r="L15" i="3"/>
  <c r="K15" i="3"/>
  <c r="C15" i="4"/>
  <c r="J15" i="3"/>
  <c r="D15" i="4" s="1"/>
  <c r="D16" i="5" s="1"/>
  <c r="H16" i="5" s="1"/>
  <c r="T16" i="3"/>
  <c r="S16" i="3"/>
  <c r="R16" i="3"/>
  <c r="Q16" i="3"/>
  <c r="P16" i="3"/>
  <c r="O16" i="3"/>
  <c r="N16" i="3"/>
  <c r="M16" i="3"/>
  <c r="L16" i="3"/>
  <c r="K16" i="3"/>
  <c r="C16" i="4"/>
  <c r="J16" i="3"/>
  <c r="D16" i="4" s="1"/>
  <c r="D17" i="5" s="1"/>
  <c r="H17" i="5" s="1"/>
  <c r="T17" i="3"/>
  <c r="S17" i="3"/>
  <c r="R17" i="3"/>
  <c r="Q17" i="3"/>
  <c r="P17" i="3"/>
  <c r="O17" i="3"/>
  <c r="N17" i="3"/>
  <c r="M17" i="3"/>
  <c r="L17" i="3"/>
  <c r="K17" i="3"/>
  <c r="C17" i="4"/>
  <c r="J17" i="3"/>
  <c r="D17" i="4" s="1"/>
  <c r="D18" i="5" s="1"/>
  <c r="H18" i="5" s="1"/>
  <c r="T18" i="3"/>
  <c r="S18" i="3"/>
  <c r="R18" i="3"/>
  <c r="Q18" i="3"/>
  <c r="P18" i="3"/>
  <c r="O18" i="3"/>
  <c r="N18" i="3"/>
  <c r="M18" i="3"/>
  <c r="L18" i="3"/>
  <c r="K18" i="3"/>
  <c r="C18" i="4"/>
  <c r="J18" i="3"/>
  <c r="D18" i="4" s="1"/>
  <c r="D19" i="5" s="1"/>
  <c r="H19" i="5" s="1"/>
  <c r="T19" i="3"/>
  <c r="S19" i="3"/>
  <c r="R19" i="3"/>
  <c r="Q19" i="3"/>
  <c r="P19" i="3"/>
  <c r="O19" i="3"/>
  <c r="N19" i="3"/>
  <c r="M19" i="3"/>
  <c r="L19" i="3"/>
  <c r="K19" i="3"/>
  <c r="C19" i="4"/>
  <c r="J19" i="3"/>
  <c r="D19" i="4" s="1"/>
  <c r="D20" i="5" s="1"/>
  <c r="H20" i="5" s="1"/>
  <c r="T20" i="3"/>
  <c r="S20" i="3"/>
  <c r="R20" i="3"/>
  <c r="Q20" i="3"/>
  <c r="P20" i="3"/>
  <c r="O20" i="3"/>
  <c r="N20" i="3"/>
  <c r="M20" i="3"/>
  <c r="L20" i="3"/>
  <c r="K20" i="3"/>
  <c r="C20" i="4"/>
  <c r="J20" i="3"/>
  <c r="D20" i="4" s="1"/>
  <c r="D21" i="5" s="1"/>
  <c r="H21" i="5" s="1"/>
  <c r="T21" i="3"/>
  <c r="S21" i="3"/>
  <c r="R21" i="3"/>
  <c r="Q21" i="3"/>
  <c r="P21" i="3"/>
  <c r="O21" i="3"/>
  <c r="N21" i="3"/>
  <c r="M21" i="3"/>
  <c r="L21" i="3"/>
  <c r="K21" i="3"/>
  <c r="C21" i="4"/>
  <c r="J21" i="3"/>
  <c r="D21" i="4" s="1"/>
  <c r="D22" i="5" s="1"/>
  <c r="H22" i="5" s="1"/>
  <c r="T22" i="3"/>
  <c r="S22" i="3"/>
  <c r="R22" i="3"/>
  <c r="Q22" i="3"/>
  <c r="P22" i="3"/>
  <c r="O22" i="3"/>
  <c r="N22" i="3"/>
  <c r="M22" i="3"/>
  <c r="L22" i="3"/>
  <c r="K22" i="3"/>
  <c r="C22" i="4"/>
  <c r="J22" i="3"/>
  <c r="D22" i="4" s="1"/>
  <c r="D23" i="5" s="1"/>
  <c r="H23" i="5" s="1"/>
  <c r="T23" i="3"/>
  <c r="S23" i="3"/>
  <c r="R23" i="3"/>
  <c r="Q23" i="3"/>
  <c r="P23" i="3"/>
  <c r="O23" i="3"/>
  <c r="N23" i="3"/>
  <c r="M23" i="3"/>
  <c r="L23" i="3"/>
  <c r="K23" i="3"/>
  <c r="C23" i="4"/>
  <c r="J23" i="3"/>
  <c r="D23" i="4" s="1"/>
  <c r="D24" i="5" s="1"/>
  <c r="H24" i="5" s="1"/>
  <c r="T24" i="3"/>
  <c r="S24" i="3"/>
  <c r="R24" i="3"/>
  <c r="Q24" i="3"/>
  <c r="P24" i="3"/>
  <c r="O24" i="3"/>
  <c r="N24" i="3"/>
  <c r="M24" i="3"/>
  <c r="L24" i="3"/>
  <c r="K24" i="3"/>
  <c r="C24" i="4"/>
  <c r="J24" i="3"/>
  <c r="D24" i="4" s="1"/>
  <c r="D25" i="5" s="1"/>
  <c r="H25" i="5" s="1"/>
  <c r="T25" i="3"/>
  <c r="S25" i="3"/>
  <c r="R25" i="3"/>
  <c r="Q25" i="3"/>
  <c r="P25" i="3"/>
  <c r="O25" i="3"/>
  <c r="N25" i="3"/>
  <c r="M25" i="3"/>
  <c r="L25" i="3"/>
  <c r="K25" i="3"/>
  <c r="C25" i="4"/>
  <c r="J25" i="3"/>
  <c r="D25" i="4" s="1"/>
  <c r="D26" i="5" s="1"/>
  <c r="H26" i="5" s="1"/>
  <c r="T26" i="3"/>
  <c r="S26" i="3"/>
  <c r="R26" i="3"/>
  <c r="Q26" i="3"/>
  <c r="P26" i="3"/>
  <c r="O26" i="3"/>
  <c r="N26" i="3"/>
  <c r="M26" i="3"/>
  <c r="L26" i="3"/>
  <c r="K26" i="3"/>
  <c r="C26" i="4"/>
  <c r="J26" i="3"/>
  <c r="D26" i="4" s="1"/>
  <c r="D27" i="5" s="1"/>
  <c r="H27" i="5" s="1"/>
  <c r="T27" i="3"/>
  <c r="S27" i="3"/>
  <c r="R27" i="3"/>
  <c r="Q27" i="3"/>
  <c r="P27" i="3"/>
  <c r="O27" i="3"/>
  <c r="N27" i="3"/>
  <c r="M27" i="3"/>
  <c r="L27" i="3"/>
  <c r="K27" i="3"/>
  <c r="C27" i="4"/>
  <c r="J27" i="3"/>
  <c r="D27" i="4" s="1"/>
  <c r="D28" i="5" s="1"/>
  <c r="H28" i="5" s="1"/>
  <c r="T28" i="3"/>
  <c r="S28" i="3"/>
  <c r="R28" i="3"/>
  <c r="Q28" i="3"/>
  <c r="P28" i="3"/>
  <c r="O28" i="3"/>
  <c r="N28" i="3"/>
  <c r="M28" i="3"/>
  <c r="L28" i="3"/>
  <c r="K28" i="3"/>
  <c r="C28" i="4"/>
  <c r="J28" i="3"/>
  <c r="D28" i="4" s="1"/>
  <c r="D29" i="5" s="1"/>
  <c r="H29" i="5" s="1"/>
  <c r="T29" i="3"/>
  <c r="S29" i="3"/>
  <c r="R29" i="3"/>
  <c r="Q29" i="3"/>
  <c r="P29" i="3"/>
  <c r="O29" i="3"/>
  <c r="N29" i="3"/>
  <c r="M29" i="3"/>
  <c r="L29" i="3"/>
  <c r="K29" i="3"/>
  <c r="C29" i="4"/>
  <c r="J29" i="3"/>
  <c r="D29" i="4" s="1"/>
  <c r="D30" i="5" s="1"/>
  <c r="H30" i="5" s="1"/>
  <c r="T30" i="3"/>
  <c r="S30" i="3"/>
  <c r="R30" i="3"/>
  <c r="Q30" i="3"/>
  <c r="P30" i="3"/>
  <c r="O30" i="3"/>
  <c r="N30" i="3"/>
  <c r="M30" i="3"/>
  <c r="L30" i="3"/>
  <c r="K30" i="3"/>
  <c r="C30" i="4"/>
  <c r="J30" i="3"/>
  <c r="D30" i="4" s="1"/>
  <c r="D31" i="5" s="1"/>
  <c r="H31" i="5" s="1"/>
  <c r="T31" i="3"/>
  <c r="S31" i="3"/>
  <c r="R31" i="3"/>
  <c r="Q31" i="3"/>
  <c r="P31" i="3"/>
  <c r="O31" i="3"/>
  <c r="N31" i="3"/>
  <c r="M31" i="3"/>
  <c r="L31" i="3"/>
  <c r="K31" i="3"/>
  <c r="C31" i="4"/>
  <c r="J31" i="3"/>
  <c r="D31" i="4" s="1"/>
  <c r="D32" i="5" s="1"/>
  <c r="H32" i="5" s="1"/>
  <c r="T32" i="3"/>
  <c r="S32" i="3"/>
  <c r="R32" i="3"/>
  <c r="Q32" i="3"/>
  <c r="P32" i="3"/>
  <c r="O32" i="3"/>
  <c r="N32" i="3"/>
  <c r="M32" i="3"/>
  <c r="L32" i="3"/>
  <c r="K32" i="3"/>
  <c r="C32" i="4"/>
  <c r="J32" i="3"/>
  <c r="D32" i="4" s="1"/>
  <c r="D33" i="5" s="1"/>
  <c r="H33" i="5" s="1"/>
  <c r="T33" i="3"/>
  <c r="S33" i="3"/>
  <c r="R33" i="3"/>
  <c r="Q33" i="3"/>
  <c r="P33" i="3"/>
  <c r="O33" i="3"/>
  <c r="N33" i="3"/>
  <c r="M33" i="3"/>
  <c r="L33" i="3"/>
  <c r="K33" i="3"/>
  <c r="C33" i="4"/>
  <c r="J33" i="3"/>
  <c r="D33" i="4" s="1"/>
  <c r="D34" i="5" s="1"/>
  <c r="H34" i="5" s="1"/>
  <c r="T34" i="3"/>
  <c r="S34" i="3"/>
  <c r="R34" i="3"/>
  <c r="Q34" i="3"/>
  <c r="P34" i="3"/>
  <c r="O34" i="3"/>
  <c r="N34" i="3"/>
  <c r="M34" i="3"/>
  <c r="L34" i="3"/>
  <c r="K34" i="3"/>
  <c r="C34" i="4"/>
  <c r="J34" i="3"/>
  <c r="D34" i="4" s="1"/>
  <c r="D35" i="5" s="1"/>
  <c r="H35" i="5" s="1"/>
  <c r="T35" i="3"/>
  <c r="S35" i="3"/>
  <c r="R35" i="3"/>
  <c r="Q35" i="3"/>
  <c r="P35" i="3"/>
  <c r="O35" i="3"/>
  <c r="N35" i="3"/>
  <c r="M35" i="3"/>
  <c r="L35" i="3"/>
  <c r="K35" i="3"/>
  <c r="C35" i="4"/>
  <c r="J35" i="3"/>
  <c r="D35" i="4" s="1"/>
  <c r="D36" i="5" s="1"/>
  <c r="H36" i="5" s="1"/>
  <c r="T36" i="3"/>
  <c r="S36" i="3"/>
  <c r="R36" i="3"/>
  <c r="Q36" i="3"/>
  <c r="P36" i="3"/>
  <c r="O36" i="3"/>
  <c r="N36" i="3"/>
  <c r="M36" i="3"/>
  <c r="L36" i="3"/>
  <c r="K36" i="3"/>
  <c r="C36" i="4"/>
  <c r="J36" i="3"/>
  <c r="D36" i="4" s="1"/>
  <c r="D37" i="5" s="1"/>
  <c r="H37" i="5" s="1"/>
  <c r="T37" i="3"/>
  <c r="S37" i="3"/>
  <c r="R37" i="3"/>
  <c r="Q37" i="3"/>
  <c r="P37" i="3"/>
  <c r="O37" i="3"/>
  <c r="N37" i="3"/>
  <c r="M37" i="3"/>
  <c r="L37" i="3"/>
  <c r="K37" i="3"/>
  <c r="C37" i="4"/>
  <c r="J37" i="3"/>
  <c r="D37" i="4" s="1"/>
  <c r="D38" i="5" s="1"/>
  <c r="H38" i="5" s="1"/>
  <c r="T38" i="3"/>
  <c r="S38" i="3"/>
  <c r="R38" i="3"/>
  <c r="Q38" i="3"/>
  <c r="P38" i="3"/>
  <c r="O38" i="3"/>
  <c r="N38" i="3"/>
  <c r="M38" i="3"/>
  <c r="L38" i="3"/>
  <c r="K38" i="3"/>
  <c r="C38" i="4"/>
  <c r="J38" i="3"/>
  <c r="D38" i="4" s="1"/>
  <c r="D39" i="5" s="1"/>
  <c r="H39" i="5" s="1"/>
  <c r="T39" i="3"/>
  <c r="S39" i="3"/>
  <c r="R39" i="3"/>
  <c r="Q39" i="3"/>
  <c r="P39" i="3"/>
  <c r="O39" i="3"/>
  <c r="N39" i="3"/>
  <c r="M39" i="3"/>
  <c r="L39" i="3"/>
  <c r="K39" i="3"/>
  <c r="C39" i="4"/>
  <c r="J39" i="3"/>
  <c r="D39" i="4" s="1"/>
  <c r="D40" i="5" s="1"/>
  <c r="H40" i="5" s="1"/>
  <c r="T40" i="3"/>
  <c r="S40" i="3"/>
  <c r="R40" i="3"/>
  <c r="Q40" i="3"/>
  <c r="P40" i="3"/>
  <c r="O40" i="3"/>
  <c r="N40" i="3"/>
  <c r="M40" i="3"/>
  <c r="L40" i="3"/>
  <c r="K40" i="3"/>
  <c r="C40" i="4"/>
  <c r="J40" i="3"/>
  <c r="D40" i="4" s="1"/>
  <c r="D41" i="5" s="1"/>
  <c r="H41" i="5" s="1"/>
  <c r="T41" i="3"/>
  <c r="S41" i="3"/>
  <c r="R41" i="3"/>
  <c r="Q41" i="3"/>
  <c r="P41" i="3"/>
  <c r="O41" i="3"/>
  <c r="N41" i="3"/>
  <c r="M41" i="3"/>
  <c r="L41" i="3"/>
  <c r="K41" i="3"/>
  <c r="C41" i="4"/>
  <c r="J41" i="3"/>
  <c r="D41" i="4" s="1"/>
  <c r="D42" i="5" s="1"/>
  <c r="H42" i="5" s="1"/>
  <c r="T42" i="3"/>
  <c r="S42" i="3"/>
  <c r="R42" i="3"/>
  <c r="Q42" i="3"/>
  <c r="P42" i="3"/>
  <c r="O42" i="3"/>
  <c r="N42" i="3"/>
  <c r="M42" i="3"/>
  <c r="L42" i="3"/>
  <c r="K42" i="3"/>
  <c r="C42" i="4"/>
  <c r="J42" i="3"/>
  <c r="D42" i="4" s="1"/>
  <c r="D43" i="5" s="1"/>
  <c r="H43" i="5" s="1"/>
  <c r="T43" i="3"/>
  <c r="S43" i="3"/>
  <c r="R43" i="3"/>
  <c r="Q43" i="3"/>
  <c r="P43" i="3"/>
  <c r="O43" i="3"/>
  <c r="N43" i="3"/>
  <c r="M43" i="3"/>
  <c r="L43" i="3"/>
  <c r="K43" i="3"/>
  <c r="C43" i="4"/>
  <c r="J43" i="3"/>
  <c r="D43" i="4" s="1"/>
  <c r="D44" i="5" s="1"/>
  <c r="H44" i="5" s="1"/>
  <c r="T44" i="3"/>
  <c r="S44" i="3"/>
  <c r="R44" i="3"/>
  <c r="Q44" i="3"/>
  <c r="P44" i="3"/>
  <c r="O44" i="3"/>
  <c r="N44" i="3"/>
  <c r="M44" i="3"/>
  <c r="L44" i="3"/>
  <c r="K44" i="3"/>
  <c r="C44" i="4"/>
  <c r="J44" i="3"/>
  <c r="D44" i="4" s="1"/>
  <c r="D45" i="5" s="1"/>
  <c r="H45" i="5" s="1"/>
  <c r="T45" i="3"/>
  <c r="S45" i="3"/>
  <c r="R45" i="3"/>
  <c r="Q45" i="3"/>
  <c r="P45" i="3"/>
  <c r="O45" i="3"/>
  <c r="N45" i="3"/>
  <c r="M45" i="3"/>
  <c r="L45" i="3"/>
  <c r="K45" i="3"/>
  <c r="C45" i="4"/>
  <c r="J45" i="3"/>
  <c r="D45" i="4" s="1"/>
  <c r="D46" i="5" s="1"/>
  <c r="H46" i="5" s="1"/>
  <c r="T46" i="3"/>
  <c r="S46" i="3"/>
  <c r="R46" i="3"/>
  <c r="Q46" i="3"/>
  <c r="P46" i="3"/>
  <c r="O46" i="3"/>
  <c r="N46" i="3"/>
  <c r="M46" i="3"/>
  <c r="L46" i="3"/>
  <c r="K46" i="3"/>
  <c r="C46" i="4"/>
  <c r="J46" i="3"/>
  <c r="D46" i="4" s="1"/>
  <c r="D47" i="5" s="1"/>
  <c r="H47" i="5" s="1"/>
  <c r="T47" i="3"/>
  <c r="S47" i="3"/>
  <c r="R47" i="3"/>
  <c r="Q47" i="3"/>
  <c r="P47" i="3"/>
  <c r="O47" i="3"/>
  <c r="N47" i="3"/>
  <c r="M47" i="3"/>
  <c r="L47" i="3"/>
  <c r="K47" i="3"/>
  <c r="C47" i="4"/>
  <c r="J47" i="3"/>
  <c r="D47" i="4" s="1"/>
  <c r="D48" i="5" s="1"/>
  <c r="H48" i="5" s="1"/>
  <c r="T48" i="3"/>
  <c r="S48" i="3"/>
  <c r="R48" i="3"/>
  <c r="Q48" i="3"/>
  <c r="P48" i="3"/>
  <c r="O48" i="3"/>
  <c r="N48" i="3"/>
  <c r="M48" i="3"/>
  <c r="L48" i="3"/>
  <c r="K48" i="3"/>
  <c r="C48" i="4"/>
  <c r="J48" i="3"/>
  <c r="D48" i="4" s="1"/>
  <c r="D49" i="5" s="1"/>
  <c r="H49" i="5" s="1"/>
  <c r="T49" i="3"/>
  <c r="S49" i="3"/>
  <c r="R49" i="3"/>
  <c r="Q49" i="3"/>
  <c r="P49" i="3"/>
  <c r="O49" i="3"/>
  <c r="N49" i="3"/>
  <c r="M49" i="3"/>
  <c r="L49" i="3"/>
  <c r="K49" i="3"/>
  <c r="C49" i="4"/>
  <c r="J49" i="3"/>
  <c r="D49" i="4" s="1"/>
  <c r="D50" i="5" s="1"/>
  <c r="H50" i="5" s="1"/>
  <c r="T50" i="3"/>
  <c r="S50" i="3"/>
  <c r="R50" i="3"/>
  <c r="Q50" i="3"/>
  <c r="P50" i="3"/>
  <c r="O50" i="3"/>
  <c r="N50" i="3"/>
  <c r="M50" i="3"/>
  <c r="L50" i="3"/>
  <c r="K50" i="3"/>
  <c r="C50" i="4"/>
  <c r="J50" i="3"/>
  <c r="D50" i="4" s="1"/>
  <c r="D51" i="5" s="1"/>
  <c r="H51" i="5" s="1"/>
  <c r="T51" i="3"/>
  <c r="S51" i="3"/>
  <c r="R51" i="3"/>
  <c r="Q51" i="3"/>
  <c r="P51" i="3"/>
  <c r="O51" i="3"/>
  <c r="N51" i="3"/>
  <c r="M51" i="3"/>
  <c r="L51" i="3"/>
  <c r="K51" i="3"/>
  <c r="C51" i="4"/>
  <c r="J51" i="3"/>
  <c r="D51" i="4" s="1"/>
  <c r="D52" i="5" s="1"/>
  <c r="H52" i="5" s="1"/>
  <c r="T52" i="3"/>
  <c r="S52" i="3"/>
  <c r="R52" i="3"/>
  <c r="Q52" i="3"/>
  <c r="P52" i="3"/>
  <c r="O52" i="3"/>
  <c r="N52" i="3"/>
  <c r="M52" i="3"/>
  <c r="L52" i="3"/>
  <c r="K52" i="3"/>
  <c r="C52" i="4"/>
  <c r="J52" i="3"/>
  <c r="D52" i="4" s="1"/>
  <c r="D53" i="5" s="1"/>
  <c r="H53" i="5" s="1"/>
  <c r="T53" i="3"/>
  <c r="S53" i="3"/>
  <c r="R53" i="3"/>
  <c r="Q53" i="3"/>
  <c r="P53" i="3"/>
  <c r="O53" i="3"/>
  <c r="N53" i="3"/>
  <c r="M53" i="3"/>
  <c r="L53" i="3"/>
  <c r="K53" i="3"/>
  <c r="C53" i="4"/>
  <c r="J53" i="3"/>
  <c r="D53" i="4" s="1"/>
  <c r="D54" i="5" s="1"/>
  <c r="H54" i="5" s="1"/>
  <c r="T54" i="3"/>
  <c r="S54" i="3"/>
  <c r="R54" i="3"/>
  <c r="Q54" i="3"/>
  <c r="P54" i="3"/>
  <c r="O54" i="3"/>
  <c r="N54" i="3"/>
  <c r="M54" i="3"/>
  <c r="L54" i="3"/>
  <c r="K54" i="3"/>
  <c r="C54" i="4"/>
  <c r="J54" i="3"/>
  <c r="D54" i="4" s="1"/>
  <c r="D55" i="5" s="1"/>
  <c r="H55" i="5" s="1"/>
  <c r="T55" i="3"/>
  <c r="S55" i="3"/>
  <c r="R55" i="3"/>
  <c r="Q55" i="3"/>
  <c r="P55" i="3"/>
  <c r="O55" i="3"/>
  <c r="N55" i="3"/>
  <c r="M55" i="3"/>
  <c r="L55" i="3"/>
  <c r="K55" i="3"/>
  <c r="C55" i="4"/>
  <c r="J55" i="3"/>
  <c r="D55" i="4" s="1"/>
  <c r="D56" i="5" s="1"/>
  <c r="H56" i="5" s="1"/>
  <c r="T56" i="3"/>
  <c r="S56" i="3"/>
  <c r="R56" i="3"/>
  <c r="Q56" i="3"/>
  <c r="P56" i="3"/>
  <c r="O56" i="3"/>
  <c r="N56" i="3"/>
  <c r="M56" i="3"/>
  <c r="L56" i="3"/>
  <c r="K56" i="3"/>
  <c r="C56" i="4"/>
  <c r="J56" i="3"/>
  <c r="D56" i="4" s="1"/>
  <c r="D57" i="5" s="1"/>
  <c r="H57" i="5" s="1"/>
  <c r="T57" i="3"/>
  <c r="S57" i="3"/>
  <c r="R57" i="3"/>
  <c r="Q57" i="3"/>
  <c r="P57" i="3"/>
  <c r="O57" i="3"/>
  <c r="N57" i="3"/>
  <c r="M57" i="3"/>
  <c r="L57" i="3"/>
  <c r="K57" i="3"/>
  <c r="C57" i="4"/>
  <c r="J57" i="3"/>
  <c r="D57" i="4" s="1"/>
  <c r="D58" i="5" s="1"/>
  <c r="H58" i="5" s="1"/>
  <c r="T58" i="3"/>
  <c r="S58" i="3"/>
  <c r="R58" i="3"/>
  <c r="Q58" i="3"/>
  <c r="P58" i="3"/>
  <c r="O58" i="3"/>
  <c r="N58" i="3"/>
  <c r="M58" i="3"/>
  <c r="L58" i="3"/>
  <c r="K58" i="3"/>
  <c r="C58" i="4"/>
  <c r="J58" i="3"/>
  <c r="D58" i="4" s="1"/>
  <c r="D59" i="5" s="1"/>
  <c r="H59" i="5" s="1"/>
  <c r="T59" i="3"/>
  <c r="S59" i="3"/>
  <c r="R59" i="3"/>
  <c r="Q59" i="3"/>
  <c r="P59" i="3"/>
  <c r="O59" i="3"/>
  <c r="N59" i="3"/>
  <c r="M59" i="3"/>
  <c r="L59" i="3"/>
  <c r="K59" i="3"/>
  <c r="C59" i="4"/>
  <c r="J59" i="3"/>
  <c r="D59" i="4" s="1"/>
  <c r="D60" i="5" s="1"/>
  <c r="H60" i="5" s="1"/>
  <c r="T60" i="3"/>
  <c r="S60" i="3"/>
  <c r="R60" i="3"/>
  <c r="Q60" i="3"/>
  <c r="P60" i="3"/>
  <c r="O60" i="3"/>
  <c r="N60" i="3"/>
  <c r="M60" i="3"/>
  <c r="L60" i="3"/>
  <c r="K60" i="3"/>
  <c r="C60" i="4"/>
  <c r="J60" i="3"/>
  <c r="D60" i="4" s="1"/>
  <c r="D61" i="5" s="1"/>
  <c r="H61" i="5" s="1"/>
  <c r="T61" i="3"/>
  <c r="S61" i="3"/>
  <c r="R61" i="3"/>
  <c r="Q61" i="3"/>
  <c r="P61" i="3"/>
  <c r="O61" i="3"/>
  <c r="N61" i="3"/>
  <c r="M61" i="3"/>
  <c r="L61" i="3"/>
  <c r="K61" i="3"/>
  <c r="C61" i="4"/>
  <c r="J61" i="3"/>
  <c r="D61" i="4" s="1"/>
  <c r="D62" i="5" s="1"/>
  <c r="H62" i="5" s="1"/>
  <c r="T62" i="3"/>
  <c r="S62" i="3"/>
  <c r="R62" i="3"/>
  <c r="Q62" i="3"/>
  <c r="P62" i="3"/>
  <c r="O62" i="3"/>
  <c r="N62" i="3"/>
  <c r="M62" i="3"/>
  <c r="L62" i="3"/>
  <c r="K62" i="3"/>
  <c r="C62" i="4"/>
  <c r="J62" i="3"/>
  <c r="D62" i="4" s="1"/>
  <c r="D63" i="5" s="1"/>
  <c r="H63" i="5" s="1"/>
  <c r="T63" i="3"/>
  <c r="S63" i="3"/>
  <c r="R63" i="3"/>
  <c r="Q63" i="3"/>
  <c r="P63" i="3"/>
  <c r="O63" i="3"/>
  <c r="N63" i="3"/>
  <c r="M63" i="3"/>
  <c r="L63" i="3"/>
  <c r="K63" i="3"/>
  <c r="C63" i="4"/>
  <c r="J63" i="3"/>
  <c r="D63" i="4" s="1"/>
  <c r="D64" i="5" s="1"/>
  <c r="H64" i="5" s="1"/>
  <c r="T64" i="3"/>
  <c r="S64" i="3"/>
  <c r="R64" i="3"/>
  <c r="Q64" i="3"/>
  <c r="P64" i="3"/>
  <c r="O64" i="3"/>
  <c r="N64" i="3"/>
  <c r="M64" i="3"/>
  <c r="L64" i="3"/>
  <c r="K64" i="3"/>
  <c r="C64" i="4"/>
  <c r="J64" i="3"/>
  <c r="D64" i="4" s="1"/>
  <c r="D65" i="5" s="1"/>
  <c r="H65" i="5" s="1"/>
  <c r="T65" i="3"/>
  <c r="S65" i="3"/>
  <c r="R65" i="3"/>
  <c r="Q65" i="3"/>
  <c r="P65" i="3"/>
  <c r="O65" i="3"/>
  <c r="N65" i="3"/>
  <c r="M65" i="3"/>
  <c r="L65" i="3"/>
  <c r="K65" i="3"/>
  <c r="C65" i="4"/>
  <c r="J65" i="3"/>
  <c r="D65" i="4" s="1"/>
  <c r="D66" i="5" s="1"/>
  <c r="H66" i="5" s="1"/>
  <c r="T66" i="3"/>
  <c r="S66" i="3"/>
  <c r="R66" i="3"/>
  <c r="Q66" i="3"/>
  <c r="P66" i="3"/>
  <c r="O66" i="3"/>
  <c r="N66" i="3"/>
  <c r="M66" i="3"/>
  <c r="L66" i="3"/>
  <c r="K66" i="3"/>
  <c r="C66" i="4"/>
  <c r="J66" i="3"/>
  <c r="D66" i="4" s="1"/>
  <c r="D67" i="5" s="1"/>
  <c r="H67" i="5" s="1"/>
  <c r="T67" i="3"/>
  <c r="S67" i="3"/>
  <c r="R67" i="3"/>
  <c r="Q67" i="3"/>
  <c r="P67" i="3"/>
  <c r="O67" i="3"/>
  <c r="N67" i="3"/>
  <c r="M67" i="3"/>
  <c r="L67" i="3"/>
  <c r="K67" i="3"/>
  <c r="C67" i="4"/>
  <c r="J67" i="3"/>
  <c r="D67" i="4" s="1"/>
  <c r="D68" i="5" s="1"/>
  <c r="H68" i="5" s="1"/>
  <c r="T68" i="3"/>
  <c r="S68" i="3"/>
  <c r="R68" i="3"/>
  <c r="Q68" i="3"/>
  <c r="P68" i="3"/>
  <c r="O68" i="3"/>
  <c r="N68" i="3"/>
  <c r="M68" i="3"/>
  <c r="L68" i="3"/>
  <c r="K68" i="3"/>
  <c r="C68" i="4"/>
  <c r="J68" i="3"/>
  <c r="D68" i="4" s="1"/>
  <c r="D69" i="5" s="1"/>
  <c r="H69" i="5" s="1"/>
  <c r="T69" i="3"/>
  <c r="S69" i="3"/>
  <c r="R69" i="3"/>
  <c r="Q69" i="3"/>
  <c r="P69" i="3"/>
  <c r="O69" i="3"/>
  <c r="N69" i="3"/>
  <c r="M69" i="3"/>
  <c r="L69" i="3"/>
  <c r="K69" i="3"/>
  <c r="C69" i="4"/>
  <c r="J69" i="3"/>
  <c r="D69" i="4" s="1"/>
  <c r="D70" i="5" s="1"/>
  <c r="H70" i="5" s="1"/>
  <c r="T70" i="3"/>
  <c r="S70" i="3"/>
  <c r="R70" i="3"/>
  <c r="Q70" i="3"/>
  <c r="P70" i="3"/>
  <c r="O70" i="3"/>
  <c r="N70" i="3"/>
  <c r="M70" i="3"/>
  <c r="L70" i="3"/>
  <c r="K70" i="3"/>
  <c r="C70" i="4"/>
  <c r="J70" i="3"/>
  <c r="D70" i="4" s="1"/>
  <c r="D71" i="5" s="1"/>
  <c r="H71" i="5" s="1"/>
  <c r="T71" i="3"/>
  <c r="S71" i="3"/>
  <c r="R71" i="3"/>
  <c r="Q71" i="3"/>
  <c r="P71" i="3"/>
  <c r="O71" i="3"/>
  <c r="N71" i="3"/>
  <c r="M71" i="3"/>
  <c r="L71" i="3"/>
  <c r="K71" i="3"/>
  <c r="C71" i="4"/>
  <c r="J71" i="3"/>
  <c r="D71" i="4" s="1"/>
  <c r="D72" i="5" s="1"/>
  <c r="H72" i="5" s="1"/>
  <c r="T72" i="3"/>
  <c r="S72" i="3"/>
  <c r="R72" i="3"/>
  <c r="Q72" i="3"/>
  <c r="P72" i="3"/>
  <c r="O72" i="3"/>
  <c r="N72" i="3"/>
  <c r="M72" i="3"/>
  <c r="L72" i="3"/>
  <c r="K72" i="3"/>
  <c r="C72" i="4"/>
  <c r="J72" i="3"/>
  <c r="D72" i="4" s="1"/>
  <c r="D73" i="5" s="1"/>
  <c r="H73" i="5" s="1"/>
  <c r="T73" i="3"/>
  <c r="S73" i="3"/>
  <c r="R73" i="3"/>
  <c r="Q73" i="3"/>
  <c r="P73" i="3"/>
  <c r="O73" i="3"/>
  <c r="N73" i="3"/>
  <c r="M73" i="3"/>
  <c r="L73" i="3"/>
  <c r="K73" i="3"/>
  <c r="C73" i="4"/>
  <c r="J73" i="3"/>
  <c r="D73" i="4" s="1"/>
  <c r="D74" i="5" s="1"/>
  <c r="H74" i="5" s="1"/>
  <c r="T74" i="3"/>
  <c r="S74" i="3"/>
  <c r="R74" i="3"/>
  <c r="Q74" i="3"/>
  <c r="P74" i="3"/>
  <c r="O74" i="3"/>
  <c r="N74" i="3"/>
  <c r="M74" i="3"/>
  <c r="L74" i="3"/>
  <c r="K74" i="3"/>
  <c r="C74" i="4"/>
  <c r="J74" i="3"/>
  <c r="D74" i="4" s="1"/>
  <c r="D75" i="5" s="1"/>
  <c r="H75" i="5" s="1"/>
  <c r="T75" i="3"/>
  <c r="S75" i="3"/>
  <c r="R75" i="3"/>
  <c r="Q75" i="3"/>
  <c r="P75" i="3"/>
  <c r="O75" i="3"/>
  <c r="N75" i="3"/>
  <c r="M75" i="3"/>
  <c r="L75" i="3"/>
  <c r="K75" i="3"/>
  <c r="C75" i="4"/>
  <c r="J75" i="3"/>
  <c r="D75" i="4" s="1"/>
  <c r="D76" i="5" s="1"/>
  <c r="H76" i="5" s="1"/>
  <c r="T76" i="3"/>
  <c r="S76" i="3"/>
  <c r="R76" i="3"/>
  <c r="Q76" i="3"/>
  <c r="P76" i="3"/>
  <c r="O76" i="3"/>
  <c r="N76" i="3"/>
  <c r="M76" i="3"/>
  <c r="L76" i="3"/>
  <c r="K76" i="3"/>
  <c r="C76" i="4"/>
  <c r="J76" i="3"/>
  <c r="D76" i="4" s="1"/>
  <c r="D77" i="5" s="1"/>
  <c r="H77" i="5" s="1"/>
  <c r="T77" i="3"/>
  <c r="S77" i="3"/>
  <c r="R77" i="3"/>
  <c r="Q77" i="3"/>
  <c r="P77" i="3"/>
  <c r="O77" i="3"/>
  <c r="N77" i="3"/>
  <c r="M77" i="3"/>
  <c r="L77" i="3"/>
  <c r="K77" i="3"/>
  <c r="C77" i="4"/>
  <c r="J77" i="3"/>
  <c r="D77" i="4" s="1"/>
  <c r="D78" i="5" s="1"/>
  <c r="H78" i="5" s="1"/>
  <c r="T78" i="3"/>
  <c r="S78" i="3"/>
  <c r="R78" i="3"/>
  <c r="Q78" i="3"/>
  <c r="P78" i="3"/>
  <c r="O78" i="3"/>
  <c r="N78" i="3"/>
  <c r="M78" i="3"/>
  <c r="L78" i="3"/>
  <c r="K78" i="3"/>
  <c r="C78" i="4"/>
  <c r="J78" i="3"/>
  <c r="D78" i="4" s="1"/>
  <c r="D79" i="5" s="1"/>
  <c r="H79" i="5" s="1"/>
  <c r="T79" i="3"/>
  <c r="S79" i="3"/>
  <c r="R79" i="3"/>
  <c r="Q79" i="3"/>
  <c r="P79" i="3"/>
  <c r="O79" i="3"/>
  <c r="N79" i="3"/>
  <c r="M79" i="3"/>
  <c r="L79" i="3"/>
  <c r="K79" i="3"/>
  <c r="C79" i="4"/>
  <c r="J79" i="3"/>
  <c r="D79" i="4" s="1"/>
  <c r="D80" i="5" s="1"/>
  <c r="H80" i="5" s="1"/>
  <c r="T80" i="3"/>
  <c r="S80" i="3"/>
  <c r="R80" i="3"/>
  <c r="Q80" i="3"/>
  <c r="P80" i="3"/>
  <c r="O80" i="3"/>
  <c r="N80" i="3"/>
  <c r="M80" i="3"/>
  <c r="L80" i="3"/>
  <c r="K80" i="3"/>
  <c r="C80" i="4"/>
  <c r="J80" i="3"/>
  <c r="D80" i="4" s="1"/>
  <c r="D81" i="5" s="1"/>
  <c r="H81" i="5" s="1"/>
  <c r="T81" i="3"/>
  <c r="S81" i="3"/>
  <c r="R81" i="3"/>
  <c r="Q81" i="3"/>
  <c r="P81" i="3"/>
  <c r="O81" i="3"/>
  <c r="N81" i="3"/>
  <c r="M81" i="3"/>
  <c r="L81" i="3"/>
  <c r="K81" i="3"/>
  <c r="C81" i="4"/>
  <c r="J81" i="3"/>
  <c r="D81" i="4" s="1"/>
  <c r="D82" i="5" s="1"/>
  <c r="H82" i="5" s="1"/>
  <c r="T82" i="3"/>
  <c r="S82" i="3"/>
  <c r="R82" i="3"/>
  <c r="Q82" i="3"/>
  <c r="P82" i="3"/>
  <c r="O82" i="3"/>
  <c r="N82" i="3"/>
  <c r="M82" i="3"/>
  <c r="L82" i="3"/>
  <c r="K82" i="3"/>
  <c r="C82" i="4"/>
  <c r="J82" i="3"/>
  <c r="D82" i="4" s="1"/>
  <c r="D83" i="5" s="1"/>
  <c r="H83" i="5" s="1"/>
  <c r="T83" i="3"/>
  <c r="S83" i="3"/>
  <c r="R83" i="3"/>
  <c r="Q83" i="3"/>
  <c r="P83" i="3"/>
  <c r="O83" i="3"/>
  <c r="N83" i="3"/>
  <c r="M83" i="3"/>
  <c r="L83" i="3"/>
  <c r="K83" i="3"/>
  <c r="C83" i="4"/>
  <c r="J83" i="3"/>
  <c r="D83" i="4" s="1"/>
  <c r="D84" i="5" s="1"/>
  <c r="H84" i="5" s="1"/>
  <c r="T84" i="3"/>
  <c r="S84" i="3"/>
  <c r="R84" i="3"/>
  <c r="Q84" i="3"/>
  <c r="P84" i="3"/>
  <c r="O84" i="3"/>
  <c r="N84" i="3"/>
  <c r="M84" i="3"/>
  <c r="L84" i="3"/>
  <c r="K84" i="3"/>
  <c r="C84" i="4"/>
  <c r="J84" i="3"/>
  <c r="D84" i="4" s="1"/>
  <c r="D85" i="5" s="1"/>
  <c r="H85" i="5" s="1"/>
  <c r="T85" i="3"/>
  <c r="S85" i="3"/>
  <c r="R85" i="3"/>
  <c r="Q85" i="3"/>
  <c r="P85" i="3"/>
  <c r="O85" i="3"/>
  <c r="N85" i="3"/>
  <c r="M85" i="3"/>
  <c r="L85" i="3"/>
  <c r="K85" i="3"/>
  <c r="C85" i="4"/>
  <c r="J85" i="3"/>
  <c r="D85" i="4" s="1"/>
  <c r="D86" i="5" s="1"/>
  <c r="H86" i="5" s="1"/>
  <c r="T86" i="3"/>
  <c r="S86" i="3"/>
  <c r="R86" i="3"/>
  <c r="Q86" i="3"/>
  <c r="P86" i="3"/>
  <c r="O86" i="3"/>
  <c r="N86" i="3"/>
  <c r="M86" i="3"/>
  <c r="L86" i="3"/>
  <c r="K86" i="3"/>
  <c r="C86" i="4"/>
  <c r="J86" i="3"/>
  <c r="D86" i="4" s="1"/>
  <c r="D87" i="5" s="1"/>
  <c r="H87" i="5" s="1"/>
  <c r="T87" i="3"/>
  <c r="S87" i="3"/>
  <c r="R87" i="3"/>
  <c r="Q87" i="3"/>
  <c r="P87" i="3"/>
  <c r="O87" i="3"/>
  <c r="N87" i="3"/>
  <c r="M87" i="3"/>
  <c r="L87" i="3"/>
  <c r="K87" i="3"/>
  <c r="C87" i="4"/>
  <c r="J87" i="3"/>
  <c r="D87" i="4" s="1"/>
  <c r="D88" i="5" s="1"/>
  <c r="H88" i="5" s="1"/>
  <c r="T88" i="3"/>
  <c r="S88" i="3"/>
  <c r="R88" i="3"/>
  <c r="Q88" i="3"/>
  <c r="P88" i="3"/>
  <c r="O88" i="3"/>
  <c r="N88" i="3"/>
  <c r="M88" i="3"/>
  <c r="L88" i="3"/>
  <c r="K88" i="3"/>
  <c r="C88" i="4"/>
  <c r="J88" i="3"/>
  <c r="D88" i="4" s="1"/>
  <c r="D89" i="5" s="1"/>
  <c r="H89" i="5" s="1"/>
  <c r="T89" i="3"/>
  <c r="S89" i="3"/>
  <c r="R89" i="3"/>
  <c r="Q89" i="3"/>
  <c r="P89" i="3"/>
  <c r="O89" i="3"/>
  <c r="N89" i="3"/>
  <c r="M89" i="3"/>
  <c r="L89" i="3"/>
  <c r="K89" i="3"/>
  <c r="C89" i="4"/>
  <c r="J89" i="3"/>
  <c r="D89" i="4" s="1"/>
  <c r="D90" i="5" s="1"/>
  <c r="H90" i="5" s="1"/>
  <c r="T90" i="3"/>
  <c r="S90" i="3"/>
  <c r="R90" i="3"/>
  <c r="Q90" i="3"/>
  <c r="P90" i="3"/>
  <c r="O90" i="3"/>
  <c r="N90" i="3"/>
  <c r="M90" i="3"/>
  <c r="L90" i="3"/>
  <c r="K90" i="3"/>
  <c r="C90" i="4"/>
  <c r="J90" i="3"/>
  <c r="D90" i="4" s="1"/>
  <c r="D91" i="5" s="1"/>
  <c r="H91" i="5" s="1"/>
  <c r="T91" i="3"/>
  <c r="S91" i="3"/>
  <c r="R91" i="3"/>
  <c r="Q91" i="3"/>
  <c r="P91" i="3"/>
  <c r="O91" i="3"/>
  <c r="N91" i="3"/>
  <c r="M91" i="3"/>
  <c r="L91" i="3"/>
  <c r="K91" i="3"/>
  <c r="C91" i="4"/>
  <c r="J91" i="3"/>
  <c r="D91" i="4" s="1"/>
  <c r="D92" i="5" s="1"/>
  <c r="H92" i="5" s="1"/>
  <c r="T92" i="3"/>
  <c r="S92" i="3"/>
  <c r="R92" i="3"/>
  <c r="Q92" i="3"/>
  <c r="P92" i="3"/>
  <c r="O92" i="3"/>
  <c r="N92" i="3"/>
  <c r="M92" i="3"/>
  <c r="L92" i="3"/>
  <c r="K92" i="3"/>
  <c r="C92" i="4"/>
  <c r="J92" i="3"/>
  <c r="D92" i="4" s="1"/>
  <c r="D93" i="5" s="1"/>
  <c r="H93" i="5" s="1"/>
  <c r="T93" i="3"/>
  <c r="S93" i="3"/>
  <c r="R93" i="3"/>
  <c r="Q93" i="3"/>
  <c r="P93" i="3"/>
  <c r="O93" i="3"/>
  <c r="N93" i="3"/>
  <c r="M93" i="3"/>
  <c r="L93" i="3"/>
  <c r="K93" i="3"/>
  <c r="C93" i="4"/>
  <c r="J93" i="3"/>
  <c r="D93" i="4" s="1"/>
  <c r="D94" i="5" s="1"/>
  <c r="H94" i="5" s="1"/>
  <c r="T94" i="3"/>
  <c r="S94" i="3"/>
  <c r="R94" i="3"/>
  <c r="Q94" i="3"/>
  <c r="P94" i="3"/>
  <c r="O94" i="3"/>
  <c r="N94" i="3"/>
  <c r="M94" i="3"/>
  <c r="L94" i="3"/>
  <c r="K94" i="3"/>
  <c r="C94" i="4"/>
  <c r="J94" i="3"/>
  <c r="D94" i="4" s="1"/>
  <c r="D95" i="5" s="1"/>
  <c r="H95" i="5" s="1"/>
  <c r="T95" i="3"/>
  <c r="S95" i="3"/>
  <c r="R95" i="3"/>
  <c r="Q95" i="3"/>
  <c r="P95" i="3"/>
  <c r="O95" i="3"/>
  <c r="N95" i="3"/>
  <c r="M95" i="3"/>
  <c r="L95" i="3"/>
  <c r="K95" i="3"/>
  <c r="C95" i="4"/>
  <c r="J95" i="3"/>
  <c r="D95" i="4" s="1"/>
  <c r="D96" i="5" s="1"/>
  <c r="H96" i="5" s="1"/>
  <c r="T96" i="3"/>
  <c r="S96" i="3"/>
  <c r="R96" i="3"/>
  <c r="Q96" i="3"/>
  <c r="P96" i="3"/>
  <c r="O96" i="3"/>
  <c r="N96" i="3"/>
  <c r="M96" i="3"/>
  <c r="L96" i="3"/>
  <c r="K96" i="3"/>
  <c r="C96" i="4"/>
  <c r="J96" i="3"/>
  <c r="D96" i="4" s="1"/>
  <c r="D97" i="5" s="1"/>
  <c r="H97" i="5" s="1"/>
  <c r="T97" i="3"/>
  <c r="S97" i="3"/>
  <c r="R97" i="3"/>
  <c r="Q97" i="3"/>
  <c r="P97" i="3"/>
  <c r="O97" i="3"/>
  <c r="N97" i="3"/>
  <c r="M97" i="3"/>
  <c r="L97" i="3"/>
  <c r="K97" i="3"/>
  <c r="C97" i="4"/>
  <c r="J97" i="3"/>
  <c r="D97" i="4" s="1"/>
  <c r="D98" i="5" s="1"/>
  <c r="H98" i="5" s="1"/>
  <c r="T98" i="3"/>
  <c r="S98" i="3"/>
  <c r="R98" i="3"/>
  <c r="Q98" i="3"/>
  <c r="P98" i="3"/>
  <c r="O98" i="3"/>
  <c r="N98" i="3"/>
  <c r="M98" i="3"/>
  <c r="L98" i="3"/>
  <c r="K98" i="3"/>
  <c r="C98" i="4"/>
  <c r="J98" i="3"/>
  <c r="D98" i="4" s="1"/>
  <c r="D99" i="5" s="1"/>
  <c r="H99" i="5" s="1"/>
  <c r="T99" i="3"/>
  <c r="S99" i="3"/>
  <c r="R99" i="3"/>
  <c r="Q99" i="3"/>
  <c r="P99" i="3"/>
  <c r="O99" i="3"/>
  <c r="N99" i="3"/>
  <c r="M99" i="3"/>
  <c r="L99" i="3"/>
  <c r="K99" i="3"/>
  <c r="C99" i="4"/>
  <c r="J99" i="3"/>
  <c r="D99" i="4" s="1"/>
  <c r="D100" i="5" s="1"/>
  <c r="H100" i="5" s="1"/>
  <c r="T100" i="3"/>
  <c r="S100" i="3"/>
  <c r="R100" i="3"/>
  <c r="Q100" i="3"/>
  <c r="P100" i="3"/>
  <c r="O100" i="3"/>
  <c r="N100" i="3"/>
  <c r="M100" i="3"/>
  <c r="L100" i="3"/>
  <c r="K100" i="3"/>
  <c r="C100" i="4"/>
  <c r="J100" i="3"/>
  <c r="D100" i="4" s="1"/>
  <c r="D101" i="5" s="1"/>
  <c r="H101" i="5" s="1"/>
  <c r="T101" i="3"/>
  <c r="S101" i="3"/>
  <c r="R101" i="3"/>
  <c r="Q101" i="3"/>
  <c r="P101" i="3"/>
  <c r="O101" i="3"/>
  <c r="N101" i="3"/>
  <c r="M101" i="3"/>
  <c r="L101" i="3"/>
  <c r="K101" i="3"/>
  <c r="C101" i="4"/>
  <c r="J101" i="3"/>
  <c r="D101" i="4" s="1"/>
  <c r="D102" i="5" s="1"/>
  <c r="H102" i="5" s="1"/>
  <c r="T102" i="3"/>
  <c r="S102" i="3"/>
  <c r="R102" i="3"/>
  <c r="Q102" i="3"/>
  <c r="P102" i="3"/>
  <c r="O102" i="3"/>
  <c r="N102" i="3"/>
  <c r="M102" i="3"/>
  <c r="L102" i="3"/>
  <c r="K102" i="3"/>
  <c r="C102" i="4"/>
  <c r="J102" i="3"/>
  <c r="D102" i="4" s="1"/>
  <c r="D103" i="5" s="1"/>
  <c r="H103" i="5" s="1"/>
  <c r="T103" i="3"/>
  <c r="S103" i="3"/>
  <c r="R103" i="3"/>
  <c r="Q103" i="3"/>
  <c r="P103" i="3"/>
  <c r="O103" i="3"/>
  <c r="N103" i="3"/>
  <c r="M103" i="3"/>
  <c r="L103" i="3"/>
  <c r="K103" i="3"/>
  <c r="C103" i="4"/>
  <c r="J103" i="3"/>
  <c r="D103" i="4" s="1"/>
  <c r="D104" i="5" s="1"/>
  <c r="H104" i="5" s="1"/>
  <c r="T104" i="3"/>
  <c r="S104" i="3"/>
  <c r="R104" i="3"/>
  <c r="Q104" i="3"/>
  <c r="P104" i="3"/>
  <c r="O104" i="3"/>
  <c r="N104" i="3"/>
  <c r="M104" i="3"/>
  <c r="L104" i="3"/>
  <c r="K104" i="3"/>
  <c r="C104" i="4"/>
  <c r="J104" i="3"/>
  <c r="D104" i="4" s="1"/>
  <c r="D105" i="5" s="1"/>
  <c r="H105" i="5" s="1"/>
  <c r="T105" i="3"/>
  <c r="S105" i="3"/>
  <c r="R105" i="3"/>
  <c r="Q105" i="3"/>
  <c r="P105" i="3"/>
  <c r="O105" i="3"/>
  <c r="N105" i="3"/>
  <c r="M105" i="3"/>
  <c r="L105" i="3"/>
  <c r="K105" i="3"/>
  <c r="C105" i="4"/>
  <c r="J105" i="3"/>
  <c r="D105" i="4" s="1"/>
  <c r="D106" i="5" s="1"/>
  <c r="H106" i="5" s="1"/>
  <c r="T106" i="3"/>
  <c r="S106" i="3"/>
  <c r="R106" i="3"/>
  <c r="Q106" i="3"/>
  <c r="P106" i="3"/>
  <c r="O106" i="3"/>
  <c r="N106" i="3"/>
  <c r="M106" i="3"/>
  <c r="L106" i="3"/>
  <c r="K106" i="3"/>
  <c r="C106" i="4"/>
  <c r="J106" i="3"/>
  <c r="D106" i="4" s="1"/>
  <c r="D107" i="5" s="1"/>
  <c r="H107" i="5" s="1"/>
  <c r="T107" i="3"/>
  <c r="S107" i="3"/>
  <c r="R107" i="3"/>
  <c r="Q107" i="3"/>
  <c r="P107" i="3"/>
  <c r="O107" i="3"/>
  <c r="N107" i="3"/>
  <c r="M107" i="3"/>
  <c r="L107" i="3"/>
  <c r="K107" i="3"/>
  <c r="C107" i="4"/>
  <c r="J107" i="3"/>
  <c r="D107" i="4" s="1"/>
  <c r="D108" i="5" s="1"/>
  <c r="H108" i="5" s="1"/>
  <c r="T108" i="3"/>
  <c r="S108" i="3"/>
  <c r="R108" i="3"/>
  <c r="Q108" i="3"/>
  <c r="P108" i="3"/>
  <c r="O108" i="3"/>
  <c r="N108" i="3"/>
  <c r="M108" i="3"/>
  <c r="L108" i="3"/>
  <c r="K108" i="3"/>
  <c r="C108" i="4"/>
  <c r="J108" i="3"/>
  <c r="D108" i="4" s="1"/>
  <c r="D109" i="5" s="1"/>
  <c r="H109" i="5" s="1"/>
  <c r="T109" i="3"/>
  <c r="S109" i="3"/>
  <c r="R109" i="3"/>
  <c r="Q109" i="3"/>
  <c r="P109" i="3"/>
  <c r="O109" i="3"/>
  <c r="N109" i="3"/>
  <c r="M109" i="3"/>
  <c r="L109" i="3"/>
  <c r="K109" i="3"/>
  <c r="C109" i="4"/>
  <c r="J109" i="3"/>
  <c r="D109" i="4" s="1"/>
  <c r="D110" i="5" s="1"/>
  <c r="H110" i="5" s="1"/>
  <c r="T110" i="3"/>
  <c r="S110" i="3"/>
  <c r="R110" i="3"/>
  <c r="Q110" i="3"/>
  <c r="P110" i="3"/>
  <c r="O110" i="3"/>
  <c r="N110" i="3"/>
  <c r="M110" i="3"/>
  <c r="L110" i="3"/>
  <c r="K110" i="3"/>
  <c r="C110" i="4"/>
  <c r="J110" i="3"/>
  <c r="D110" i="4" s="1"/>
  <c r="D111" i="5" s="1"/>
  <c r="H111" i="5" s="1"/>
  <c r="T111" i="3"/>
  <c r="S111" i="3"/>
  <c r="R111" i="3"/>
  <c r="Q111" i="3"/>
  <c r="P111" i="3"/>
  <c r="O111" i="3"/>
  <c r="N111" i="3"/>
  <c r="M111" i="3"/>
  <c r="L111" i="3"/>
  <c r="K111" i="3"/>
  <c r="C111" i="4"/>
  <c r="J111" i="3"/>
  <c r="D111" i="4" s="1"/>
  <c r="D112" i="5" s="1"/>
  <c r="H112" i="5" s="1"/>
  <c r="T112" i="3"/>
  <c r="S112" i="3"/>
  <c r="R112" i="3"/>
  <c r="Q112" i="3"/>
  <c r="P112" i="3"/>
  <c r="O112" i="3"/>
  <c r="N112" i="3"/>
  <c r="M112" i="3"/>
  <c r="L112" i="3"/>
  <c r="K112" i="3"/>
  <c r="C112" i="4"/>
  <c r="J112" i="3"/>
  <c r="D112" i="4" s="1"/>
  <c r="D113" i="5" s="1"/>
  <c r="H113" i="5" s="1"/>
  <c r="T113" i="3"/>
  <c r="S113" i="3"/>
  <c r="R113" i="3"/>
  <c r="Q113" i="3"/>
  <c r="P113" i="3"/>
  <c r="O113" i="3"/>
  <c r="N113" i="3"/>
  <c r="M113" i="3"/>
  <c r="L113" i="3"/>
  <c r="K113" i="3"/>
  <c r="C113" i="4"/>
  <c r="J113" i="3"/>
  <c r="D113" i="4" s="1"/>
  <c r="D114" i="5" s="1"/>
  <c r="H114" i="5" s="1"/>
  <c r="T114" i="3"/>
  <c r="S114" i="3"/>
  <c r="R114" i="3"/>
  <c r="Q114" i="3"/>
  <c r="P114" i="3"/>
  <c r="O114" i="3"/>
  <c r="N114" i="3"/>
  <c r="M114" i="3"/>
  <c r="L114" i="3"/>
  <c r="K114" i="3"/>
  <c r="C114" i="4"/>
  <c r="J114" i="3"/>
  <c r="D114" i="4" s="1"/>
  <c r="D115" i="5" s="1"/>
  <c r="H115" i="5" s="1"/>
  <c r="T115" i="3"/>
  <c r="S115" i="3"/>
  <c r="R115" i="3"/>
  <c r="Q115" i="3"/>
  <c r="P115" i="3"/>
  <c r="O115" i="3"/>
  <c r="N115" i="3"/>
  <c r="M115" i="3"/>
  <c r="L115" i="3"/>
  <c r="K115" i="3"/>
  <c r="C115" i="4"/>
  <c r="J115" i="3"/>
  <c r="D115" i="4" s="1"/>
  <c r="D116" i="5" s="1"/>
  <c r="H116" i="5" s="1"/>
  <c r="T116" i="3"/>
  <c r="S116" i="3"/>
  <c r="R116" i="3"/>
  <c r="Q116" i="3"/>
  <c r="P116" i="3"/>
  <c r="O116" i="3"/>
  <c r="N116" i="3"/>
  <c r="M116" i="3"/>
  <c r="L116" i="3"/>
  <c r="K116" i="3"/>
  <c r="C116" i="4"/>
  <c r="J116" i="3"/>
  <c r="D116" i="4" s="1"/>
  <c r="D117" i="5" s="1"/>
  <c r="H117" i="5" s="1"/>
  <c r="T117" i="3"/>
  <c r="S117" i="3"/>
  <c r="R117" i="3"/>
  <c r="Q117" i="3"/>
  <c r="P117" i="3"/>
  <c r="O117" i="3"/>
  <c r="N117" i="3"/>
  <c r="M117" i="3"/>
  <c r="L117" i="3"/>
  <c r="K117" i="3"/>
  <c r="C117" i="4"/>
  <c r="J117" i="3"/>
  <c r="D117" i="4" s="1"/>
  <c r="D118" i="5" s="1"/>
  <c r="H118" i="5" s="1"/>
  <c r="T118" i="3"/>
  <c r="S118" i="3"/>
  <c r="R118" i="3"/>
  <c r="Q118" i="3"/>
  <c r="P118" i="3"/>
  <c r="O118" i="3"/>
  <c r="N118" i="3"/>
  <c r="M118" i="3"/>
  <c r="L118" i="3"/>
  <c r="K118" i="3"/>
  <c r="C118" i="4"/>
  <c r="J118" i="3"/>
  <c r="D118" i="4" s="1"/>
  <c r="D119" i="5" s="1"/>
  <c r="H119" i="5" s="1"/>
  <c r="T119" i="3"/>
  <c r="S119" i="3"/>
  <c r="R119" i="3"/>
  <c r="Q119" i="3"/>
  <c r="P119" i="3"/>
  <c r="O119" i="3"/>
  <c r="N119" i="3"/>
  <c r="M119" i="3"/>
  <c r="L119" i="3"/>
  <c r="K119" i="3"/>
  <c r="C119" i="4"/>
  <c r="J119" i="3"/>
  <c r="D119" i="4" s="1"/>
  <c r="D120" i="5" s="1"/>
  <c r="H120" i="5" s="1"/>
  <c r="T120" i="3"/>
  <c r="S120" i="3"/>
  <c r="R120" i="3"/>
  <c r="Q120" i="3"/>
  <c r="P120" i="3"/>
  <c r="O120" i="3"/>
  <c r="N120" i="3"/>
  <c r="M120" i="3"/>
  <c r="L120" i="3"/>
  <c r="K120" i="3"/>
  <c r="C120" i="4"/>
  <c r="J120" i="3"/>
  <c r="D120" i="4" s="1"/>
  <c r="D121" i="5" s="1"/>
  <c r="H121" i="5" s="1"/>
  <c r="T121" i="3"/>
  <c r="S121" i="3"/>
  <c r="R121" i="3"/>
  <c r="Q121" i="3"/>
  <c r="P121" i="3"/>
  <c r="O121" i="3"/>
  <c r="N121" i="3"/>
  <c r="M121" i="3"/>
  <c r="L121" i="3"/>
  <c r="K121" i="3"/>
  <c r="C121" i="4"/>
  <c r="J121" i="3"/>
  <c r="D121" i="4" s="1"/>
  <c r="D122" i="5" s="1"/>
  <c r="H122" i="5" s="1"/>
  <c r="T122" i="3"/>
  <c r="S122" i="3"/>
  <c r="R122" i="3"/>
  <c r="Q122" i="3"/>
  <c r="P122" i="3"/>
  <c r="O122" i="3"/>
  <c r="N122" i="3"/>
  <c r="M122" i="3"/>
  <c r="L122" i="3"/>
  <c r="K122" i="3"/>
  <c r="C122" i="4"/>
  <c r="J122" i="3"/>
  <c r="D122" i="4" s="1"/>
  <c r="D123" i="5" s="1"/>
  <c r="H123" i="5" s="1"/>
  <c r="T123" i="3"/>
  <c r="S123" i="3"/>
  <c r="R123" i="3"/>
  <c r="Q123" i="3"/>
  <c r="P123" i="3"/>
  <c r="O123" i="3"/>
  <c r="N123" i="3"/>
  <c r="M123" i="3"/>
  <c r="L123" i="3"/>
  <c r="K123" i="3"/>
  <c r="C123" i="4"/>
  <c r="J123" i="3"/>
  <c r="D123" i="4" s="1"/>
  <c r="D124" i="5" s="1"/>
  <c r="H124" i="5" s="1"/>
  <c r="T124" i="3"/>
  <c r="S124" i="3"/>
  <c r="R124" i="3"/>
  <c r="Q124" i="3"/>
  <c r="P124" i="3"/>
  <c r="O124" i="3"/>
  <c r="N124" i="3"/>
  <c r="M124" i="3"/>
  <c r="L124" i="3"/>
  <c r="K124" i="3"/>
  <c r="C124" i="4"/>
  <c r="J124" i="3"/>
  <c r="D124" i="4" s="1"/>
  <c r="D125" i="5" s="1"/>
  <c r="H125" i="5" s="1"/>
  <c r="T125" i="3"/>
  <c r="S125" i="3"/>
  <c r="R125" i="3"/>
  <c r="Q125" i="3"/>
  <c r="P125" i="3"/>
  <c r="O125" i="3"/>
  <c r="N125" i="3"/>
  <c r="M125" i="3"/>
  <c r="L125" i="3"/>
  <c r="K125" i="3"/>
  <c r="C125" i="4"/>
  <c r="J125" i="3"/>
  <c r="D125" i="4" s="1"/>
  <c r="D126" i="5" s="1"/>
  <c r="H126" i="5" s="1"/>
  <c r="T126" i="3"/>
  <c r="S126" i="3"/>
  <c r="R126" i="3"/>
  <c r="Q126" i="3"/>
  <c r="P126" i="3"/>
  <c r="O126" i="3"/>
  <c r="N126" i="3"/>
  <c r="M126" i="3"/>
  <c r="L126" i="3"/>
  <c r="K126" i="3"/>
  <c r="C126" i="4"/>
  <c r="J126" i="3"/>
  <c r="D126" i="4" s="1"/>
  <c r="D127" i="5" s="1"/>
  <c r="H127" i="5" s="1"/>
  <c r="T127" i="3"/>
  <c r="S127" i="3"/>
  <c r="R127" i="3"/>
  <c r="Q127" i="3"/>
  <c r="P127" i="3"/>
  <c r="O127" i="3"/>
  <c r="N127" i="3"/>
  <c r="M127" i="3"/>
  <c r="L127" i="3"/>
  <c r="K127" i="3"/>
  <c r="C127" i="4"/>
  <c r="J127" i="3"/>
  <c r="D127" i="4" s="1"/>
  <c r="D128" i="5" s="1"/>
  <c r="H128" i="5" s="1"/>
  <c r="T128" i="3"/>
  <c r="S128" i="3"/>
  <c r="R128" i="3"/>
  <c r="Q128" i="3"/>
  <c r="P128" i="3"/>
  <c r="O128" i="3"/>
  <c r="N128" i="3"/>
  <c r="M128" i="3"/>
  <c r="L128" i="3"/>
  <c r="K128" i="3"/>
  <c r="C128" i="4"/>
  <c r="J128" i="3"/>
  <c r="D128" i="4" s="1"/>
  <c r="D129" i="5" s="1"/>
  <c r="H129" i="5" s="1"/>
  <c r="T129" i="3"/>
  <c r="S129" i="3"/>
  <c r="R129" i="3"/>
  <c r="Q129" i="3"/>
  <c r="P129" i="3"/>
  <c r="O129" i="3"/>
  <c r="N129" i="3"/>
  <c r="M129" i="3"/>
  <c r="L129" i="3"/>
  <c r="K129" i="3"/>
  <c r="C129" i="4"/>
  <c r="J129" i="3"/>
  <c r="D129" i="4" s="1"/>
  <c r="D130" i="5" s="1"/>
  <c r="H130" i="5" s="1"/>
  <c r="T130" i="3"/>
  <c r="S130" i="3"/>
  <c r="R130" i="3"/>
  <c r="Q130" i="3"/>
  <c r="P130" i="3"/>
  <c r="O130" i="3"/>
  <c r="N130" i="3"/>
  <c r="M130" i="3"/>
  <c r="L130" i="3"/>
  <c r="K130" i="3"/>
  <c r="C130" i="4"/>
  <c r="J130" i="3"/>
  <c r="D130" i="4" s="1"/>
  <c r="D131" i="5" s="1"/>
  <c r="H131" i="5" s="1"/>
  <c r="T131" i="3"/>
  <c r="S131" i="3"/>
  <c r="R131" i="3"/>
  <c r="Q131" i="3"/>
  <c r="P131" i="3"/>
  <c r="O131" i="3"/>
  <c r="N131" i="3"/>
  <c r="M131" i="3"/>
  <c r="L131" i="3"/>
  <c r="K131" i="3"/>
  <c r="C131" i="4"/>
  <c r="J131" i="3"/>
  <c r="D131" i="4" s="1"/>
  <c r="D132" i="5" s="1"/>
  <c r="H132" i="5" s="1"/>
  <c r="T132" i="3"/>
  <c r="S132" i="3"/>
  <c r="R132" i="3"/>
  <c r="Q132" i="3"/>
  <c r="P132" i="3"/>
  <c r="O132" i="3"/>
  <c r="N132" i="3"/>
  <c r="M132" i="3"/>
  <c r="L132" i="3"/>
  <c r="K132" i="3"/>
  <c r="C132" i="4"/>
  <c r="J132" i="3"/>
  <c r="D132" i="4" s="1"/>
  <c r="D133" i="5" s="1"/>
  <c r="H133" i="5" s="1"/>
  <c r="T133" i="3"/>
  <c r="S133" i="3"/>
  <c r="R133" i="3"/>
  <c r="Q133" i="3"/>
  <c r="P133" i="3"/>
  <c r="O133" i="3"/>
  <c r="N133" i="3"/>
  <c r="M133" i="3"/>
  <c r="L133" i="3"/>
  <c r="K133" i="3"/>
  <c r="C133" i="4"/>
  <c r="J133" i="3"/>
  <c r="D133" i="4" s="1"/>
  <c r="D134" i="5" s="1"/>
  <c r="H134" i="5" s="1"/>
  <c r="T134" i="3"/>
  <c r="S134" i="3"/>
  <c r="R134" i="3"/>
  <c r="Q134" i="3"/>
  <c r="P134" i="3"/>
  <c r="O134" i="3"/>
  <c r="N134" i="3"/>
  <c r="M134" i="3"/>
  <c r="L134" i="3"/>
  <c r="K134" i="3"/>
  <c r="C134" i="4"/>
  <c r="J134" i="3"/>
  <c r="D134" i="4" s="1"/>
  <c r="D135" i="5" s="1"/>
  <c r="H135" i="5" s="1"/>
  <c r="T135" i="3"/>
  <c r="S135" i="3"/>
  <c r="R135" i="3"/>
  <c r="Q135" i="3"/>
  <c r="P135" i="3"/>
  <c r="O135" i="3"/>
  <c r="N135" i="3"/>
  <c r="M135" i="3"/>
  <c r="L135" i="3"/>
  <c r="K135" i="3"/>
  <c r="C135" i="4"/>
  <c r="J135" i="3"/>
  <c r="D135" i="4" s="1"/>
  <c r="D136" i="5" s="1"/>
  <c r="H136" i="5" s="1"/>
  <c r="T136" i="3"/>
  <c r="S136" i="3"/>
  <c r="R136" i="3"/>
  <c r="Q136" i="3"/>
  <c r="P136" i="3"/>
  <c r="O136" i="3"/>
  <c r="N136" i="3"/>
  <c r="M136" i="3"/>
  <c r="L136" i="3"/>
  <c r="K136" i="3"/>
  <c r="C136" i="4"/>
  <c r="J136" i="3"/>
  <c r="D136" i="4" s="1"/>
  <c r="D137" i="5" s="1"/>
  <c r="H137" i="5" s="1"/>
  <c r="T137" i="3"/>
  <c r="S137" i="3"/>
  <c r="R137" i="3"/>
  <c r="Q137" i="3"/>
  <c r="P137" i="3"/>
  <c r="O137" i="3"/>
  <c r="N137" i="3"/>
  <c r="M137" i="3"/>
  <c r="L137" i="3"/>
  <c r="K137" i="3"/>
  <c r="C137" i="4"/>
  <c r="J137" i="3"/>
  <c r="D137" i="4" s="1"/>
  <c r="D138" i="5" s="1"/>
  <c r="H138" i="5" s="1"/>
  <c r="C139" i="5"/>
  <c r="G6" i="5"/>
  <c r="F6" i="5"/>
  <c r="E6" i="5"/>
  <c r="G7" i="5"/>
  <c r="F7" i="5"/>
  <c r="E7" i="5"/>
  <c r="F7" i="7" s="1"/>
  <c r="G7" i="10" s="1"/>
  <c r="G8" i="5"/>
  <c r="F8" i="5"/>
  <c r="E8" i="5"/>
  <c r="F8" i="7" s="1"/>
  <c r="G8" i="10" s="1"/>
  <c r="G9" i="5"/>
  <c r="F9" i="5"/>
  <c r="E9" i="5"/>
  <c r="F9" i="7" s="1"/>
  <c r="G9" i="10" s="1"/>
  <c r="G10" i="5"/>
  <c r="F10" i="5"/>
  <c r="E10" i="5"/>
  <c r="F10" i="7" s="1"/>
  <c r="G10" i="10" s="1"/>
  <c r="G11" i="5"/>
  <c r="F11" i="5"/>
  <c r="E11" i="5"/>
  <c r="F11" i="7" s="1"/>
  <c r="G11" i="10" s="1"/>
  <c r="G12" i="5"/>
  <c r="F12" i="5"/>
  <c r="E12" i="5"/>
  <c r="F12" i="7" s="1"/>
  <c r="G12" i="10" s="1"/>
  <c r="G13" i="5"/>
  <c r="F13" i="5"/>
  <c r="E13" i="5"/>
  <c r="F13" i="7" s="1"/>
  <c r="G13" i="10" s="1"/>
  <c r="G14" i="5"/>
  <c r="F14" i="5"/>
  <c r="E14" i="5"/>
  <c r="F14" i="7" s="1"/>
  <c r="G14" i="10" s="1"/>
  <c r="G15" i="5"/>
  <c r="F15" i="5"/>
  <c r="E15" i="5"/>
  <c r="F15" i="7" s="1"/>
  <c r="G15" i="10" s="1"/>
  <c r="G16" i="5"/>
  <c r="F16" i="5"/>
  <c r="E16" i="5"/>
  <c r="F16" i="7" s="1"/>
  <c r="G16" i="10" s="1"/>
  <c r="G17" i="5"/>
  <c r="F17" i="5"/>
  <c r="E17" i="5"/>
  <c r="F17" i="7" s="1"/>
  <c r="G17" i="10" s="1"/>
  <c r="G18" i="5"/>
  <c r="F18" i="5"/>
  <c r="E18" i="5"/>
  <c r="F18" i="7" s="1"/>
  <c r="G18" i="10" s="1"/>
  <c r="G19" i="5"/>
  <c r="F19" i="5"/>
  <c r="E19" i="5"/>
  <c r="F19" i="7" s="1"/>
  <c r="G19" i="10" s="1"/>
  <c r="G20" i="5"/>
  <c r="F20" i="5"/>
  <c r="E20" i="5"/>
  <c r="F20" i="7" s="1"/>
  <c r="G20" i="10" s="1"/>
  <c r="G21" i="5"/>
  <c r="F21" i="5"/>
  <c r="E21" i="5"/>
  <c r="F21" i="7" s="1"/>
  <c r="G21" i="10" s="1"/>
  <c r="G22" i="5"/>
  <c r="F22" i="5"/>
  <c r="E22" i="5"/>
  <c r="F22" i="7" s="1"/>
  <c r="G22" i="10" s="1"/>
  <c r="G23" i="5"/>
  <c r="F23" i="5"/>
  <c r="E23" i="5"/>
  <c r="F23" i="7" s="1"/>
  <c r="G23" i="10" s="1"/>
  <c r="G24" i="5"/>
  <c r="F24" i="5"/>
  <c r="E24" i="5"/>
  <c r="F24" i="7" s="1"/>
  <c r="G24" i="10" s="1"/>
  <c r="G25" i="5"/>
  <c r="F25" i="5"/>
  <c r="E25" i="5"/>
  <c r="F25" i="7" s="1"/>
  <c r="G25" i="10" s="1"/>
  <c r="G26" i="5"/>
  <c r="F26" i="5"/>
  <c r="E26" i="5"/>
  <c r="F26" i="7" s="1"/>
  <c r="G26" i="10" s="1"/>
  <c r="G27" i="5"/>
  <c r="F27" i="5"/>
  <c r="E27" i="5"/>
  <c r="F27" i="7" s="1"/>
  <c r="G27" i="10" s="1"/>
  <c r="G28" i="5"/>
  <c r="F28" i="5"/>
  <c r="E28" i="5"/>
  <c r="F28" i="7" s="1"/>
  <c r="G28" i="10" s="1"/>
  <c r="G29" i="5"/>
  <c r="F29" i="5"/>
  <c r="E29" i="5"/>
  <c r="F29" i="7" s="1"/>
  <c r="G29" i="10" s="1"/>
  <c r="G30" i="5"/>
  <c r="F30" i="5"/>
  <c r="E30" i="5"/>
  <c r="F30" i="7" s="1"/>
  <c r="G30" i="10" s="1"/>
  <c r="G31" i="5"/>
  <c r="F31" i="5"/>
  <c r="E31" i="5"/>
  <c r="F31" i="7" s="1"/>
  <c r="G31" i="10" s="1"/>
  <c r="G32" i="5"/>
  <c r="F32" i="5"/>
  <c r="E32" i="5"/>
  <c r="F32" i="7" s="1"/>
  <c r="G32" i="10" s="1"/>
  <c r="G33" i="5"/>
  <c r="F33" i="5"/>
  <c r="E33" i="5"/>
  <c r="F33" i="7" s="1"/>
  <c r="G33" i="10" s="1"/>
  <c r="G34" i="5"/>
  <c r="F34" i="5"/>
  <c r="E34" i="5"/>
  <c r="F34" i="7" s="1"/>
  <c r="G34" i="10" s="1"/>
  <c r="G35" i="5"/>
  <c r="F35" i="5"/>
  <c r="E35" i="5"/>
  <c r="F35" i="7" s="1"/>
  <c r="G35" i="10" s="1"/>
  <c r="G36" i="5"/>
  <c r="F36" i="5"/>
  <c r="E36" i="5"/>
  <c r="F36" i="7" s="1"/>
  <c r="G36" i="10" s="1"/>
  <c r="G37" i="5"/>
  <c r="F37" i="5"/>
  <c r="E37" i="5"/>
  <c r="F37" i="7" s="1"/>
  <c r="G37" i="10" s="1"/>
  <c r="G38" i="5"/>
  <c r="F38" i="5"/>
  <c r="E38" i="5"/>
  <c r="F38" i="7" s="1"/>
  <c r="G38" i="10" s="1"/>
  <c r="G39" i="5"/>
  <c r="F39" i="5"/>
  <c r="E39" i="5"/>
  <c r="F39" i="7" s="1"/>
  <c r="G39" i="10" s="1"/>
  <c r="G40" i="5"/>
  <c r="F40" i="5"/>
  <c r="E40" i="5"/>
  <c r="F40" i="7" s="1"/>
  <c r="G40" i="10" s="1"/>
  <c r="G41" i="5"/>
  <c r="F41" i="5"/>
  <c r="E41" i="5"/>
  <c r="F41" i="7" s="1"/>
  <c r="G41" i="10" s="1"/>
  <c r="G42" i="5"/>
  <c r="F42" i="5"/>
  <c r="E42" i="5"/>
  <c r="F42" i="7" s="1"/>
  <c r="G42" i="10" s="1"/>
  <c r="G43" i="5"/>
  <c r="F43" i="5"/>
  <c r="E43" i="5"/>
  <c r="F43" i="7" s="1"/>
  <c r="G43" i="10" s="1"/>
  <c r="G44" i="5"/>
  <c r="F44" i="5"/>
  <c r="E44" i="5"/>
  <c r="F44" i="7" s="1"/>
  <c r="G44" i="10" s="1"/>
  <c r="G45" i="5"/>
  <c r="F45" i="5"/>
  <c r="E45" i="5"/>
  <c r="F45" i="7" s="1"/>
  <c r="G45" i="10" s="1"/>
  <c r="G46" i="5"/>
  <c r="F46" i="5"/>
  <c r="E46" i="5"/>
  <c r="F46" i="7" s="1"/>
  <c r="G46" i="10" s="1"/>
  <c r="G47" i="5"/>
  <c r="F47" i="5"/>
  <c r="E47" i="5"/>
  <c r="F47" i="7" s="1"/>
  <c r="G47" i="10" s="1"/>
  <c r="G48" i="5"/>
  <c r="F48" i="5"/>
  <c r="E48" i="5"/>
  <c r="F48" i="7" s="1"/>
  <c r="G48" i="10" s="1"/>
  <c r="G49" i="5"/>
  <c r="F49" i="5"/>
  <c r="E49" i="5"/>
  <c r="F49" i="7" s="1"/>
  <c r="G49" i="10" s="1"/>
  <c r="G50" i="5"/>
  <c r="F50" i="5"/>
  <c r="E50" i="5"/>
  <c r="F50" i="7" s="1"/>
  <c r="G50" i="10" s="1"/>
  <c r="G51" i="5"/>
  <c r="F51" i="5"/>
  <c r="E51" i="5"/>
  <c r="F51" i="7" s="1"/>
  <c r="G51" i="10" s="1"/>
  <c r="G52" i="5"/>
  <c r="F52" i="5"/>
  <c r="E52" i="5"/>
  <c r="F52" i="7" s="1"/>
  <c r="G52" i="10" s="1"/>
  <c r="G53" i="5"/>
  <c r="F53" i="5"/>
  <c r="E53" i="5"/>
  <c r="F53" i="7" s="1"/>
  <c r="G53" i="10" s="1"/>
  <c r="G54" i="5"/>
  <c r="F54" i="5"/>
  <c r="E54" i="5"/>
  <c r="F54" i="7" s="1"/>
  <c r="G54" i="10" s="1"/>
  <c r="G55" i="5"/>
  <c r="F55" i="5"/>
  <c r="E55" i="5"/>
  <c r="F55" i="7" s="1"/>
  <c r="G55" i="10" s="1"/>
  <c r="G56" i="5"/>
  <c r="F56" i="5"/>
  <c r="E56" i="5"/>
  <c r="F56" i="7" s="1"/>
  <c r="G56" i="10" s="1"/>
  <c r="G57" i="5"/>
  <c r="F57" i="5"/>
  <c r="E57" i="5"/>
  <c r="F57" i="7" s="1"/>
  <c r="G57" i="10" s="1"/>
  <c r="G58" i="5"/>
  <c r="F58" i="5"/>
  <c r="E58" i="5"/>
  <c r="F58" i="7" s="1"/>
  <c r="G58" i="10" s="1"/>
  <c r="G59" i="5"/>
  <c r="F59" i="5"/>
  <c r="E59" i="5"/>
  <c r="F59" i="7" s="1"/>
  <c r="G59" i="10" s="1"/>
  <c r="G60" i="5"/>
  <c r="F60" i="5"/>
  <c r="E60" i="5"/>
  <c r="F60" i="7" s="1"/>
  <c r="G60" i="10" s="1"/>
  <c r="G61" i="5"/>
  <c r="F61" i="5"/>
  <c r="E61" i="5"/>
  <c r="F61" i="7" s="1"/>
  <c r="G61" i="10" s="1"/>
  <c r="G62" i="5"/>
  <c r="F62" i="5"/>
  <c r="E62" i="5"/>
  <c r="F62" i="7" s="1"/>
  <c r="G62" i="10" s="1"/>
  <c r="G63" i="5"/>
  <c r="F63" i="5"/>
  <c r="E63" i="5"/>
  <c r="F63" i="7" s="1"/>
  <c r="G63" i="10" s="1"/>
  <c r="G64" i="5"/>
  <c r="F64" i="5"/>
  <c r="E64" i="5"/>
  <c r="F64" i="7" s="1"/>
  <c r="G64" i="10" s="1"/>
  <c r="G65" i="5"/>
  <c r="F65" i="5"/>
  <c r="E65" i="5"/>
  <c r="F65" i="7" s="1"/>
  <c r="G65" i="10" s="1"/>
  <c r="G66" i="5"/>
  <c r="F66" i="5"/>
  <c r="E66" i="5"/>
  <c r="F66" i="7" s="1"/>
  <c r="G66" i="10" s="1"/>
  <c r="G67" i="5"/>
  <c r="F67" i="5"/>
  <c r="E67" i="5"/>
  <c r="F67" i="7" s="1"/>
  <c r="G67" i="10" s="1"/>
  <c r="G68" i="5"/>
  <c r="F68" i="5"/>
  <c r="E68" i="5"/>
  <c r="F68" i="7" s="1"/>
  <c r="G68" i="10" s="1"/>
  <c r="G69" i="5"/>
  <c r="F69" i="5"/>
  <c r="E69" i="5"/>
  <c r="F69" i="7" s="1"/>
  <c r="G69" i="10" s="1"/>
  <c r="G70" i="5"/>
  <c r="F70" i="5"/>
  <c r="E70" i="5"/>
  <c r="F70" i="7" s="1"/>
  <c r="G70" i="10" s="1"/>
  <c r="G71" i="5"/>
  <c r="F71" i="5"/>
  <c r="E71" i="5"/>
  <c r="F71" i="7" s="1"/>
  <c r="G71" i="10" s="1"/>
  <c r="G72" i="5"/>
  <c r="F72" i="5"/>
  <c r="E72" i="5"/>
  <c r="F72" i="7" s="1"/>
  <c r="G72" i="10" s="1"/>
  <c r="G73" i="5"/>
  <c r="F73" i="5"/>
  <c r="E73" i="5"/>
  <c r="F73" i="7" s="1"/>
  <c r="G73" i="10" s="1"/>
  <c r="G74" i="5"/>
  <c r="F74" i="5"/>
  <c r="E74" i="5"/>
  <c r="F74" i="7" s="1"/>
  <c r="G74" i="10" s="1"/>
  <c r="G75" i="5"/>
  <c r="F75" i="5"/>
  <c r="E75" i="5"/>
  <c r="F75" i="7" s="1"/>
  <c r="G75" i="10" s="1"/>
  <c r="G76" i="5"/>
  <c r="F76" i="5"/>
  <c r="E76" i="5"/>
  <c r="F76" i="7" s="1"/>
  <c r="G76" i="10" s="1"/>
  <c r="G77" i="5"/>
  <c r="F77" i="5"/>
  <c r="E77" i="5"/>
  <c r="F77" i="7" s="1"/>
  <c r="G77" i="10" s="1"/>
  <c r="G78" i="5"/>
  <c r="F78" i="5"/>
  <c r="E78" i="5"/>
  <c r="F78" i="7" s="1"/>
  <c r="G78" i="10" s="1"/>
  <c r="G79" i="5"/>
  <c r="F79" i="5"/>
  <c r="E79" i="5"/>
  <c r="F79" i="7" s="1"/>
  <c r="G79" i="10" s="1"/>
  <c r="G80" i="5"/>
  <c r="F80" i="5"/>
  <c r="E80" i="5"/>
  <c r="F80" i="7" s="1"/>
  <c r="G80" i="10" s="1"/>
  <c r="G81" i="5"/>
  <c r="F81" i="5"/>
  <c r="E81" i="5"/>
  <c r="F81" i="7" s="1"/>
  <c r="G81" i="10" s="1"/>
  <c r="G82" i="5"/>
  <c r="F82" i="5"/>
  <c r="E82" i="5"/>
  <c r="F82" i="7" s="1"/>
  <c r="G82" i="10" s="1"/>
  <c r="G83" i="5"/>
  <c r="F83" i="5"/>
  <c r="E83" i="5"/>
  <c r="F83" i="7" s="1"/>
  <c r="G83" i="10" s="1"/>
  <c r="G84" i="5"/>
  <c r="F84" i="5"/>
  <c r="E84" i="5"/>
  <c r="F84" i="7" s="1"/>
  <c r="G84" i="10" s="1"/>
  <c r="G85" i="5"/>
  <c r="F85" i="5"/>
  <c r="E85" i="5"/>
  <c r="F85" i="7" s="1"/>
  <c r="G85" i="10" s="1"/>
  <c r="G86" i="5"/>
  <c r="F86" i="5"/>
  <c r="E86" i="5"/>
  <c r="F86" i="7" s="1"/>
  <c r="G86" i="10" s="1"/>
  <c r="G87" i="5"/>
  <c r="F87" i="5"/>
  <c r="E87" i="5"/>
  <c r="F87" i="7" s="1"/>
  <c r="G87" i="10" s="1"/>
  <c r="G88" i="5"/>
  <c r="F88" i="5"/>
  <c r="E88" i="5"/>
  <c r="F88" i="7" s="1"/>
  <c r="G88" i="10" s="1"/>
  <c r="G89" i="5"/>
  <c r="F89" i="5"/>
  <c r="E89" i="5"/>
  <c r="F89" i="7" s="1"/>
  <c r="G89" i="10" s="1"/>
  <c r="G90" i="5"/>
  <c r="F90" i="5"/>
  <c r="E90" i="5"/>
  <c r="F90" i="7" s="1"/>
  <c r="G90" i="10" s="1"/>
  <c r="G91" i="5"/>
  <c r="F91" i="5"/>
  <c r="E91" i="5"/>
  <c r="F91" i="7" s="1"/>
  <c r="G91" i="10" s="1"/>
  <c r="G92" i="5"/>
  <c r="F92" i="5"/>
  <c r="E92" i="5"/>
  <c r="F92" i="7" s="1"/>
  <c r="G92" i="10" s="1"/>
  <c r="G93" i="5"/>
  <c r="F93" i="5"/>
  <c r="E93" i="5"/>
  <c r="F93" i="7" s="1"/>
  <c r="G93" i="10" s="1"/>
  <c r="G94" i="5"/>
  <c r="F94" i="5"/>
  <c r="E94" i="5"/>
  <c r="F94" i="7" s="1"/>
  <c r="G94" i="10" s="1"/>
  <c r="G95" i="5"/>
  <c r="F95" i="5"/>
  <c r="E95" i="5"/>
  <c r="F95" i="7" s="1"/>
  <c r="G95" i="10" s="1"/>
  <c r="G96" i="5"/>
  <c r="F96" i="5"/>
  <c r="E96" i="5"/>
  <c r="F96" i="7" s="1"/>
  <c r="G96" i="10" s="1"/>
  <c r="G97" i="5"/>
  <c r="F97" i="5"/>
  <c r="E97" i="5"/>
  <c r="F97" i="7" s="1"/>
  <c r="G97" i="10" s="1"/>
  <c r="G98" i="5"/>
  <c r="F98" i="5"/>
  <c r="E98" i="5"/>
  <c r="F98" i="7" s="1"/>
  <c r="G98" i="10" s="1"/>
  <c r="G99" i="5"/>
  <c r="F99" i="5"/>
  <c r="E99" i="5"/>
  <c r="F99" i="7" s="1"/>
  <c r="G99" i="10" s="1"/>
  <c r="G100" i="5"/>
  <c r="F100" i="5"/>
  <c r="E100" i="5"/>
  <c r="F100" i="7" s="1"/>
  <c r="G100" i="10" s="1"/>
  <c r="G101" i="5"/>
  <c r="F101" i="5"/>
  <c r="E101" i="5"/>
  <c r="F101" i="7" s="1"/>
  <c r="G101" i="10" s="1"/>
  <c r="G102" i="5"/>
  <c r="F102" i="5"/>
  <c r="E102" i="5"/>
  <c r="F102" i="7" s="1"/>
  <c r="G102" i="10" s="1"/>
  <c r="G103" i="5"/>
  <c r="F103" i="5"/>
  <c r="E103" i="5"/>
  <c r="F103" i="7" s="1"/>
  <c r="G103" i="10" s="1"/>
  <c r="G104" i="5"/>
  <c r="F104" i="5"/>
  <c r="E104" i="5"/>
  <c r="F104" i="7" s="1"/>
  <c r="G104" i="10" s="1"/>
  <c r="G105" i="5"/>
  <c r="F105" i="5"/>
  <c r="E105" i="5"/>
  <c r="F105" i="7" s="1"/>
  <c r="G105" i="10" s="1"/>
  <c r="G106" i="5"/>
  <c r="F106" i="5"/>
  <c r="E106" i="5"/>
  <c r="F106" i="7" s="1"/>
  <c r="G106" i="10" s="1"/>
  <c r="G107" i="5"/>
  <c r="F107" i="5"/>
  <c r="E107" i="5"/>
  <c r="F107" i="7" s="1"/>
  <c r="G107" i="10" s="1"/>
  <c r="G108" i="5"/>
  <c r="F108" i="5"/>
  <c r="E108" i="5"/>
  <c r="F108" i="7" s="1"/>
  <c r="G108" i="10" s="1"/>
  <c r="G109" i="5"/>
  <c r="F109" i="5"/>
  <c r="E109" i="5"/>
  <c r="F109" i="7" s="1"/>
  <c r="G109" i="10" s="1"/>
  <c r="G110" i="5"/>
  <c r="F110" i="5"/>
  <c r="E110" i="5"/>
  <c r="F110" i="7" s="1"/>
  <c r="G110" i="10" s="1"/>
  <c r="G111" i="5"/>
  <c r="F111" i="5"/>
  <c r="E111" i="5"/>
  <c r="F111" i="7" s="1"/>
  <c r="G111" i="10" s="1"/>
  <c r="G112" i="5"/>
  <c r="F112" i="5"/>
  <c r="E112" i="5"/>
  <c r="F112" i="7" s="1"/>
  <c r="G112" i="10" s="1"/>
  <c r="G113" i="5"/>
  <c r="F113" i="5"/>
  <c r="E113" i="5"/>
  <c r="F113" i="7" s="1"/>
  <c r="G113" i="10" s="1"/>
  <c r="G114" i="5"/>
  <c r="F114" i="5"/>
  <c r="E114" i="5"/>
  <c r="F114" i="7" s="1"/>
  <c r="G114" i="10" s="1"/>
  <c r="G115" i="5"/>
  <c r="F115" i="5"/>
  <c r="E115" i="5"/>
  <c r="F115" i="7" s="1"/>
  <c r="G115" i="10" s="1"/>
  <c r="G116" i="5"/>
  <c r="F116" i="5"/>
  <c r="E116" i="5"/>
  <c r="F116" i="7" s="1"/>
  <c r="G116" i="10" s="1"/>
  <c r="G117" i="5"/>
  <c r="F117" i="5"/>
  <c r="E117" i="5"/>
  <c r="F117" i="7" s="1"/>
  <c r="G117" i="10" s="1"/>
  <c r="G118" i="5"/>
  <c r="F118" i="5"/>
  <c r="E118" i="5"/>
  <c r="F118" i="7" s="1"/>
  <c r="G118" i="10" s="1"/>
  <c r="G119" i="5"/>
  <c r="F119" i="5"/>
  <c r="E119" i="5"/>
  <c r="F119" i="7" s="1"/>
  <c r="G119" i="10" s="1"/>
  <c r="G120" i="5"/>
  <c r="F120" i="5"/>
  <c r="E120" i="5"/>
  <c r="F120" i="7" s="1"/>
  <c r="G120" i="10" s="1"/>
  <c r="G121" i="5"/>
  <c r="F121" i="5"/>
  <c r="E121" i="5"/>
  <c r="F121" i="7" s="1"/>
  <c r="G121" i="10" s="1"/>
  <c r="G122" i="5"/>
  <c r="F122" i="5"/>
  <c r="E122" i="5"/>
  <c r="F122" i="7" s="1"/>
  <c r="G122" i="10" s="1"/>
  <c r="G123" i="5"/>
  <c r="F123" i="5"/>
  <c r="E123" i="5"/>
  <c r="F123" i="7" s="1"/>
  <c r="G123" i="10" s="1"/>
  <c r="G124" i="5"/>
  <c r="F124" i="5"/>
  <c r="E124" i="5"/>
  <c r="F124" i="7" s="1"/>
  <c r="G124" i="10" s="1"/>
  <c r="G125" i="5"/>
  <c r="F125" i="5"/>
  <c r="E125" i="5"/>
  <c r="F125" i="7" s="1"/>
  <c r="G125" i="10" s="1"/>
  <c r="G126" i="5"/>
  <c r="F126" i="5"/>
  <c r="E126" i="5"/>
  <c r="F126" i="7" s="1"/>
  <c r="G126" i="10" s="1"/>
  <c r="G127" i="5"/>
  <c r="F127" i="5"/>
  <c r="E127" i="5"/>
  <c r="F127" i="7" s="1"/>
  <c r="G127" i="10" s="1"/>
  <c r="G128" i="5"/>
  <c r="F128" i="5"/>
  <c r="E128" i="5"/>
  <c r="F128" i="7" s="1"/>
  <c r="G128" i="10" s="1"/>
  <c r="G129" i="5"/>
  <c r="F129" i="5"/>
  <c r="E129" i="5"/>
  <c r="F129" i="7" s="1"/>
  <c r="G129" i="10" s="1"/>
  <c r="G130" i="5"/>
  <c r="F130" i="5"/>
  <c r="E130" i="5"/>
  <c r="F130" i="7" s="1"/>
  <c r="G130" i="10" s="1"/>
  <c r="G131" i="5"/>
  <c r="F131" i="5"/>
  <c r="E131" i="5"/>
  <c r="F131" i="7" s="1"/>
  <c r="G131" i="10" s="1"/>
  <c r="G132" i="5"/>
  <c r="F132" i="5"/>
  <c r="E132" i="5"/>
  <c r="F132" i="7" s="1"/>
  <c r="G132" i="10" s="1"/>
  <c r="G133" i="5"/>
  <c r="F133" i="5"/>
  <c r="E133" i="5"/>
  <c r="F133" i="7" s="1"/>
  <c r="G133" i="10" s="1"/>
  <c r="G134" i="5"/>
  <c r="F134" i="5"/>
  <c r="E134" i="5"/>
  <c r="F134" i="7" s="1"/>
  <c r="G134" i="10" s="1"/>
  <c r="G135" i="5"/>
  <c r="F135" i="5"/>
  <c r="E135" i="5"/>
  <c r="F135" i="7" s="1"/>
  <c r="G135" i="10" s="1"/>
  <c r="G136" i="5"/>
  <c r="F136" i="5"/>
  <c r="E136" i="5"/>
  <c r="F136" i="7" s="1"/>
  <c r="G136" i="10" s="1"/>
  <c r="G137" i="5"/>
  <c r="F137" i="5"/>
  <c r="E137" i="5"/>
  <c r="F137" i="7" s="1"/>
  <c r="G137" i="10" s="1"/>
  <c r="G138" i="5"/>
  <c r="F138" i="5"/>
  <c r="E138" i="5"/>
  <c r="F138" i="7" s="1"/>
  <c r="G138" i="10" s="1"/>
  <c r="I108" i="7"/>
  <c r="I74" i="7"/>
  <c r="I73" i="7"/>
  <c r="I68" i="7"/>
  <c r="I49" i="7"/>
  <c r="I46" i="7"/>
  <c r="I41" i="7"/>
  <c r="I25" i="7"/>
  <c r="B6" i="10"/>
  <c r="E6" i="7"/>
  <c r="B7" i="10"/>
  <c r="E7" i="7"/>
  <c r="B8" i="10"/>
  <c r="E8" i="7"/>
  <c r="B9" i="10"/>
  <c r="E9" i="7"/>
  <c r="B10" i="10"/>
  <c r="E10" i="7"/>
  <c r="B11" i="10"/>
  <c r="E11" i="7"/>
  <c r="B12" i="10"/>
  <c r="E12" i="7"/>
  <c r="B13" i="10"/>
  <c r="E13" i="7"/>
  <c r="B14" i="10"/>
  <c r="E14" i="7"/>
  <c r="B15" i="10"/>
  <c r="E15" i="7"/>
  <c r="B16" i="10"/>
  <c r="E16" i="7"/>
  <c r="B17" i="10"/>
  <c r="E17" i="7"/>
  <c r="B18" i="10"/>
  <c r="E18" i="7"/>
  <c r="B19" i="10"/>
  <c r="E19" i="7"/>
  <c r="B20" i="10"/>
  <c r="E20" i="7"/>
  <c r="B21" i="10"/>
  <c r="E21" i="7"/>
  <c r="B22" i="10"/>
  <c r="E22" i="7"/>
  <c r="B23" i="10"/>
  <c r="E23" i="7"/>
  <c r="B24" i="10"/>
  <c r="E24" i="7"/>
  <c r="B25" i="10"/>
  <c r="E25" i="7"/>
  <c r="B26" i="10"/>
  <c r="E26" i="7"/>
  <c r="B27" i="10"/>
  <c r="E27" i="7"/>
  <c r="B28" i="10"/>
  <c r="E28" i="7"/>
  <c r="B29" i="10"/>
  <c r="E29" i="7"/>
  <c r="B30" i="10"/>
  <c r="E30" i="7"/>
  <c r="B31" i="10"/>
  <c r="E31" i="7"/>
  <c r="B32" i="10"/>
  <c r="E32" i="7"/>
  <c r="B33" i="10"/>
  <c r="E33" i="7"/>
  <c r="B34" i="10"/>
  <c r="E34" i="7"/>
  <c r="B35" i="10"/>
  <c r="E35" i="7"/>
  <c r="B36" i="10"/>
  <c r="E36" i="7"/>
  <c r="B37" i="10"/>
  <c r="E37" i="7"/>
  <c r="B38" i="10"/>
  <c r="E38" i="7"/>
  <c r="B39" i="10"/>
  <c r="E39" i="7"/>
  <c r="B40" i="10"/>
  <c r="E40" i="7"/>
  <c r="B41" i="10"/>
  <c r="E41" i="7"/>
  <c r="B42" i="10"/>
  <c r="E42" i="7"/>
  <c r="B43" i="10"/>
  <c r="E43" i="7"/>
  <c r="B44" i="10"/>
  <c r="E44" i="7"/>
  <c r="B45" i="10"/>
  <c r="E45" i="7"/>
  <c r="B46" i="10"/>
  <c r="E46" i="7"/>
  <c r="B47" i="10"/>
  <c r="E47" i="7"/>
  <c r="B48" i="10"/>
  <c r="E48" i="7"/>
  <c r="B49" i="10"/>
  <c r="E49" i="7"/>
  <c r="B50" i="10"/>
  <c r="E50" i="7"/>
  <c r="B51" i="10"/>
  <c r="E51" i="7"/>
  <c r="B52" i="10"/>
  <c r="E52" i="7"/>
  <c r="B53" i="10"/>
  <c r="E53" i="7"/>
  <c r="B54" i="10"/>
  <c r="E54" i="7"/>
  <c r="B55" i="10"/>
  <c r="E55" i="7"/>
  <c r="B56" i="10"/>
  <c r="E56" i="7"/>
  <c r="B57" i="10"/>
  <c r="E57" i="7"/>
  <c r="B58" i="10"/>
  <c r="E58" i="7"/>
  <c r="B59" i="10"/>
  <c r="E59" i="7"/>
  <c r="B60" i="10"/>
  <c r="E60" i="7"/>
  <c r="B61" i="10"/>
  <c r="E61" i="7"/>
  <c r="B62" i="10"/>
  <c r="E62" i="7"/>
  <c r="B63" i="10"/>
  <c r="E63" i="7"/>
  <c r="B64" i="10"/>
  <c r="E64" i="7"/>
  <c r="B65" i="10"/>
  <c r="E65" i="7"/>
  <c r="B66" i="10"/>
  <c r="E66" i="7"/>
  <c r="B67" i="10"/>
  <c r="E67" i="7"/>
  <c r="B68" i="10"/>
  <c r="E68" i="7"/>
  <c r="B69" i="10"/>
  <c r="E69" i="7"/>
  <c r="B70" i="10"/>
  <c r="E70" i="7"/>
  <c r="B71" i="10"/>
  <c r="E71" i="7"/>
  <c r="B72" i="10"/>
  <c r="E72" i="7"/>
  <c r="B73" i="10"/>
  <c r="E73" i="7"/>
  <c r="B74" i="10"/>
  <c r="E74" i="7"/>
  <c r="B75" i="10"/>
  <c r="E75" i="7"/>
  <c r="B76" i="10"/>
  <c r="E76" i="7"/>
  <c r="B77" i="10"/>
  <c r="E77" i="7"/>
  <c r="B78" i="10"/>
  <c r="E78" i="7"/>
  <c r="B79" i="10"/>
  <c r="E79" i="7"/>
  <c r="B80" i="10"/>
  <c r="E80" i="7"/>
  <c r="B81" i="10"/>
  <c r="E81" i="7"/>
  <c r="B82" i="10"/>
  <c r="E82" i="7"/>
  <c r="B83" i="10"/>
  <c r="E83" i="7"/>
  <c r="B84" i="10"/>
  <c r="E84" i="7"/>
  <c r="B85" i="10"/>
  <c r="E85" i="7"/>
  <c r="B86" i="10"/>
  <c r="E86" i="7"/>
  <c r="B87" i="10"/>
  <c r="E87" i="7"/>
  <c r="B88" i="10"/>
  <c r="E88" i="7"/>
  <c r="B89" i="10"/>
  <c r="E89" i="7"/>
  <c r="B90" i="10"/>
  <c r="E90" i="7"/>
  <c r="B91" i="10"/>
  <c r="E91" i="7"/>
  <c r="B92" i="10"/>
  <c r="E92" i="7"/>
  <c r="B93" i="10"/>
  <c r="E93" i="7"/>
  <c r="B94" i="10"/>
  <c r="E94" i="7"/>
  <c r="B95" i="10"/>
  <c r="E95" i="7"/>
  <c r="B96" i="10"/>
  <c r="E96" i="7"/>
  <c r="B97" i="10"/>
  <c r="E97" i="7"/>
  <c r="B98" i="10"/>
  <c r="E98" i="7"/>
  <c r="B99" i="10"/>
  <c r="E99" i="7"/>
  <c r="B100" i="10"/>
  <c r="E100" i="7"/>
  <c r="B101" i="10"/>
  <c r="E101" i="7"/>
  <c r="B102" i="10"/>
  <c r="E102" i="7"/>
  <c r="B103" i="10"/>
  <c r="E103" i="7"/>
  <c r="B104" i="10"/>
  <c r="E104" i="7"/>
  <c r="B105" i="10"/>
  <c r="E105" i="7"/>
  <c r="B106" i="10"/>
  <c r="E106" i="7"/>
  <c r="B107" i="10"/>
  <c r="E107" i="7"/>
  <c r="B108" i="10"/>
  <c r="E108" i="7"/>
  <c r="B109" i="10"/>
  <c r="E109" i="7"/>
  <c r="B110" i="10"/>
  <c r="E110" i="7"/>
  <c r="B111" i="10"/>
  <c r="E111" i="7"/>
  <c r="B112" i="10"/>
  <c r="E112" i="7"/>
  <c r="B113" i="10"/>
  <c r="E113" i="7"/>
  <c r="B114" i="10"/>
  <c r="E114" i="7"/>
  <c r="B115" i="10"/>
  <c r="E115" i="7"/>
  <c r="B116" i="10"/>
  <c r="E116" i="7"/>
  <c r="B117" i="10"/>
  <c r="E117" i="7"/>
  <c r="B118" i="10"/>
  <c r="E118" i="7"/>
  <c r="B119" i="10"/>
  <c r="E119" i="7"/>
  <c r="B120" i="10"/>
  <c r="E120" i="7"/>
  <c r="B121" i="10"/>
  <c r="E121" i="7"/>
  <c r="B122" i="10"/>
  <c r="E122" i="7"/>
  <c r="B123" i="10"/>
  <c r="E123" i="7"/>
  <c r="B124" i="10"/>
  <c r="E124" i="7"/>
  <c r="B125" i="10"/>
  <c r="E125" i="7"/>
  <c r="B126" i="10"/>
  <c r="E126" i="7"/>
  <c r="B127" i="10"/>
  <c r="E127" i="7"/>
  <c r="B128" i="10"/>
  <c r="E128" i="7"/>
  <c r="B129" i="10"/>
  <c r="E129" i="7"/>
  <c r="B130" i="10"/>
  <c r="E130" i="7"/>
  <c r="B131" i="10"/>
  <c r="E131" i="7"/>
  <c r="B132" i="10"/>
  <c r="E132" i="7"/>
  <c r="B133" i="10"/>
  <c r="E133" i="7"/>
  <c r="B134" i="10"/>
  <c r="E134" i="7"/>
  <c r="B135" i="10"/>
  <c r="E135" i="7"/>
  <c r="B136" i="10"/>
  <c r="E136" i="7"/>
  <c r="B137" i="10"/>
  <c r="E137" i="7"/>
  <c r="B138" i="10"/>
  <c r="E138" i="7"/>
  <c r="J130" i="10"/>
  <c r="J126" i="10"/>
  <c r="J117" i="10"/>
  <c r="J106" i="10"/>
  <c r="J75" i="10"/>
  <c r="J67" i="10"/>
  <c r="J48" i="10"/>
  <c r="J47" i="10"/>
  <c r="J42" i="10"/>
  <c r="J26" i="10"/>
  <c r="J24" i="10"/>
  <c r="J137" i="10"/>
  <c r="J135" i="10"/>
  <c r="J134" i="10"/>
  <c r="J128" i="10"/>
  <c r="J127" i="10"/>
  <c r="J124" i="10"/>
  <c r="J123" i="10"/>
  <c r="J115" i="10"/>
  <c r="J112" i="10"/>
  <c r="J105" i="10"/>
  <c r="J100" i="10"/>
  <c r="J89" i="10"/>
  <c r="J68" i="10"/>
  <c r="J52" i="10"/>
  <c r="J51" i="10"/>
  <c r="J6" i="10"/>
  <c r="J113" i="10"/>
  <c r="L113" i="10" s="1"/>
  <c r="J97" i="10"/>
  <c r="L97" i="10" s="1"/>
  <c r="J91" i="10"/>
  <c r="L91" i="10" s="1"/>
  <c r="J90" i="10"/>
  <c r="L90" i="10" s="1"/>
  <c r="J81" i="10"/>
  <c r="L81" i="10" s="1"/>
  <c r="J69" i="10"/>
  <c r="L69" i="10" s="1"/>
  <c r="J64" i="10"/>
  <c r="L64" i="10" s="1"/>
  <c r="J62" i="10"/>
  <c r="L62" i="10" s="1"/>
  <c r="J56" i="10"/>
  <c r="L56" i="10" s="1"/>
  <c r="J55" i="10"/>
  <c r="L55" i="10" s="1"/>
  <c r="J54" i="10"/>
  <c r="L54" i="10" s="1"/>
  <c r="J53" i="10"/>
  <c r="L53" i="10" s="1"/>
  <c r="J41" i="10"/>
  <c r="L41" i="10" s="1"/>
  <c r="J33" i="10"/>
  <c r="L33" i="10" s="1"/>
  <c r="J22" i="10"/>
  <c r="L22" i="10" s="1"/>
  <c r="J138" i="10"/>
  <c r="L138" i="10" s="1"/>
  <c r="J121" i="10"/>
  <c r="L121" i="10" s="1"/>
  <c r="J120" i="10"/>
  <c r="L120" i="10" s="1"/>
  <c r="J111" i="10"/>
  <c r="L111" i="10" s="1"/>
  <c r="J110" i="10"/>
  <c r="L110" i="10" s="1"/>
  <c r="J101" i="10"/>
  <c r="L101" i="10" s="1"/>
  <c r="J95" i="10"/>
  <c r="L95" i="10" s="1"/>
  <c r="J87" i="10"/>
  <c r="L87" i="10" s="1"/>
  <c r="J80" i="10"/>
  <c r="L80" i="10" s="1"/>
  <c r="J78" i="10"/>
  <c r="L78" i="10" s="1"/>
  <c r="J72" i="10"/>
  <c r="L72" i="10" s="1"/>
  <c r="J71" i="10"/>
  <c r="L71" i="10" s="1"/>
  <c r="J61" i="10"/>
  <c r="L61" i="10" s="1"/>
  <c r="J58" i="10"/>
  <c r="L58" i="10" s="1"/>
  <c r="J39" i="10"/>
  <c r="L39" i="10" s="1"/>
  <c r="J35" i="10"/>
  <c r="L35" i="10" s="1"/>
  <c r="J34" i="10"/>
  <c r="L34" i="10" s="1"/>
  <c r="J29" i="10"/>
  <c r="L29" i="10" s="1"/>
  <c r="J27" i="10"/>
  <c r="L27" i="10" s="1"/>
  <c r="J12" i="10"/>
  <c r="L12" i="10" s="1"/>
  <c r="J136" i="10"/>
  <c r="J133" i="10"/>
  <c r="J118" i="10"/>
  <c r="J116" i="10"/>
  <c r="J104" i="10"/>
  <c r="J103" i="10"/>
  <c r="J84" i="10"/>
  <c r="J83" i="10"/>
  <c r="J66" i="10"/>
  <c r="J59" i="10"/>
  <c r="J50" i="10"/>
  <c r="J44" i="10"/>
  <c r="J37" i="10"/>
  <c r="J14" i="10"/>
  <c r="J13" i="10"/>
  <c r="J7" i="10"/>
  <c r="J132" i="10"/>
  <c r="J131" i="10"/>
  <c r="J122" i="10"/>
  <c r="J119" i="10"/>
  <c r="J108" i="10"/>
  <c r="J107" i="10"/>
  <c r="J82" i="10"/>
  <c r="J74" i="10"/>
  <c r="J73" i="10"/>
  <c r="J49" i="10"/>
  <c r="J38" i="10"/>
  <c r="J21" i="10"/>
  <c r="J17" i="10"/>
  <c r="J15" i="10"/>
  <c r="J11" i="10"/>
  <c r="J10" i="10"/>
  <c r="J8" i="10"/>
  <c r="J129" i="10"/>
  <c r="J125" i="10"/>
  <c r="J114" i="10"/>
  <c r="J102" i="10"/>
  <c r="J99" i="10"/>
  <c r="J98" i="10"/>
  <c r="J96" i="10"/>
  <c r="J94" i="10"/>
  <c r="J88" i="10"/>
  <c r="J86" i="10"/>
  <c r="J85" i="10"/>
  <c r="J79" i="10"/>
  <c r="J65" i="10"/>
  <c r="J57" i="10"/>
  <c r="J43" i="10"/>
  <c r="J40" i="10"/>
  <c r="J36" i="10"/>
  <c r="J31" i="10"/>
  <c r="J28" i="10"/>
  <c r="J23" i="10"/>
  <c r="J19" i="10"/>
  <c r="J16" i="10"/>
  <c r="J109" i="10"/>
  <c r="J93" i="10"/>
  <c r="J92" i="10"/>
  <c r="J77" i="10"/>
  <c r="J76" i="10"/>
  <c r="J70" i="10"/>
  <c r="J63" i="10"/>
  <c r="J60" i="10"/>
  <c r="J46" i="10"/>
  <c r="J45" i="10"/>
  <c r="J32" i="10"/>
  <c r="J30" i="10"/>
  <c r="J25" i="10"/>
  <c r="J20" i="10"/>
  <c r="J18" i="10"/>
  <c r="J9" i="10"/>
  <c r="R6" i="10"/>
  <c r="O6" i="10"/>
  <c r="R7" i="10"/>
  <c r="O7" i="10"/>
  <c r="R8" i="10"/>
  <c r="O8" i="10"/>
  <c r="R9" i="10"/>
  <c r="O9" i="10"/>
  <c r="R10" i="10"/>
  <c r="O10" i="10"/>
  <c r="R11" i="10"/>
  <c r="O11" i="10"/>
  <c r="R12" i="10"/>
  <c r="O12" i="10"/>
  <c r="R13" i="10"/>
  <c r="O13" i="10"/>
  <c r="R14" i="10"/>
  <c r="O14" i="10"/>
  <c r="R15" i="10"/>
  <c r="O15" i="10"/>
  <c r="R16" i="10"/>
  <c r="O16" i="10"/>
  <c r="R17" i="10"/>
  <c r="O17" i="10"/>
  <c r="R18" i="10"/>
  <c r="O18" i="10"/>
  <c r="R19" i="10"/>
  <c r="O19" i="10"/>
  <c r="R20" i="10"/>
  <c r="O20" i="10"/>
  <c r="R21" i="10"/>
  <c r="O21" i="10"/>
  <c r="R22" i="10"/>
  <c r="O22" i="10"/>
  <c r="R23" i="10"/>
  <c r="O23" i="10"/>
  <c r="R24" i="10"/>
  <c r="O24" i="10"/>
  <c r="R25" i="10"/>
  <c r="O25" i="10"/>
  <c r="R26" i="10"/>
  <c r="O26" i="10"/>
  <c r="R27" i="10"/>
  <c r="O27" i="10"/>
  <c r="R28" i="10"/>
  <c r="O28" i="10"/>
  <c r="R29" i="10"/>
  <c r="O29" i="10"/>
  <c r="R30" i="10"/>
  <c r="O30" i="10"/>
  <c r="R31" i="10"/>
  <c r="O31" i="10"/>
  <c r="R32" i="10"/>
  <c r="O32" i="10"/>
  <c r="R33" i="10"/>
  <c r="O33" i="10"/>
  <c r="R34" i="10"/>
  <c r="O34" i="10"/>
  <c r="R35" i="10"/>
  <c r="O35" i="10"/>
  <c r="R36" i="10"/>
  <c r="O36" i="10"/>
  <c r="R37" i="10"/>
  <c r="O37" i="10"/>
  <c r="R38" i="10"/>
  <c r="O38" i="10"/>
  <c r="R39" i="10"/>
  <c r="O39" i="10"/>
  <c r="R40" i="10"/>
  <c r="O40" i="10"/>
  <c r="R41" i="10"/>
  <c r="O41" i="10"/>
  <c r="R42" i="10"/>
  <c r="O42" i="10"/>
  <c r="R43" i="10"/>
  <c r="O43" i="10"/>
  <c r="R44" i="10"/>
  <c r="O44" i="10"/>
  <c r="R45" i="10"/>
  <c r="O45" i="10"/>
  <c r="R46" i="10"/>
  <c r="O46" i="10"/>
  <c r="R47" i="10"/>
  <c r="O47" i="10"/>
  <c r="R48" i="10"/>
  <c r="O48" i="10"/>
  <c r="R49" i="10"/>
  <c r="O49" i="10"/>
  <c r="R50" i="10"/>
  <c r="O50" i="10"/>
  <c r="R51" i="10"/>
  <c r="O51" i="10"/>
  <c r="R52" i="10"/>
  <c r="O52" i="10"/>
  <c r="R53" i="10"/>
  <c r="O53" i="10"/>
  <c r="R54" i="10"/>
  <c r="O54" i="10"/>
  <c r="R55" i="10"/>
  <c r="O55" i="10"/>
  <c r="R56" i="10"/>
  <c r="O56" i="10"/>
  <c r="R57" i="10"/>
  <c r="O57" i="10"/>
  <c r="R58" i="10"/>
  <c r="O58" i="10"/>
  <c r="R59" i="10"/>
  <c r="O59" i="10"/>
  <c r="R60" i="10"/>
  <c r="O60" i="10"/>
  <c r="R61" i="10"/>
  <c r="O61" i="10"/>
  <c r="R62" i="10"/>
  <c r="O62" i="10"/>
  <c r="R63" i="10"/>
  <c r="O63" i="10"/>
  <c r="R64" i="10"/>
  <c r="O64" i="10"/>
  <c r="R65" i="10"/>
  <c r="O65" i="10"/>
  <c r="R66" i="10"/>
  <c r="O66" i="10"/>
  <c r="R67" i="10"/>
  <c r="O67" i="10"/>
  <c r="R68" i="10"/>
  <c r="O68" i="10"/>
  <c r="R69" i="10"/>
  <c r="O69" i="10"/>
  <c r="R70" i="10"/>
  <c r="O70" i="10"/>
  <c r="R71" i="10"/>
  <c r="O71" i="10"/>
  <c r="R72" i="10"/>
  <c r="O72" i="10"/>
  <c r="R73" i="10"/>
  <c r="O73" i="10"/>
  <c r="R74" i="10"/>
  <c r="O74" i="10"/>
  <c r="R75" i="10"/>
  <c r="O75" i="10"/>
  <c r="R76" i="10"/>
  <c r="O76" i="10"/>
  <c r="R77" i="10"/>
  <c r="O77" i="10"/>
  <c r="R78" i="10"/>
  <c r="O78" i="10"/>
  <c r="R79" i="10"/>
  <c r="O79" i="10"/>
  <c r="R80" i="10"/>
  <c r="O80" i="10"/>
  <c r="R81" i="10"/>
  <c r="O81" i="10"/>
  <c r="R82" i="10"/>
  <c r="O82" i="10"/>
  <c r="R83" i="10"/>
  <c r="O83" i="10"/>
  <c r="R84" i="10"/>
  <c r="O84" i="10"/>
  <c r="R85" i="10"/>
  <c r="O85" i="10"/>
  <c r="R86" i="10"/>
  <c r="O86" i="10"/>
  <c r="R87" i="10"/>
  <c r="O87" i="10"/>
  <c r="R88" i="10"/>
  <c r="O88" i="10"/>
  <c r="R89" i="10"/>
  <c r="O89" i="10"/>
  <c r="R90" i="10"/>
  <c r="O90" i="10"/>
  <c r="R91" i="10"/>
  <c r="O91" i="10"/>
  <c r="R92" i="10"/>
  <c r="O92" i="10"/>
  <c r="R93" i="10"/>
  <c r="O93" i="10"/>
  <c r="R94" i="10"/>
  <c r="O94" i="10"/>
  <c r="R95" i="10"/>
  <c r="O95" i="10"/>
  <c r="R96" i="10"/>
  <c r="O96" i="10"/>
  <c r="R97" i="10"/>
  <c r="O97" i="10"/>
  <c r="R98" i="10"/>
  <c r="O98" i="10"/>
  <c r="R99" i="10"/>
  <c r="O99" i="10"/>
  <c r="R100" i="10"/>
  <c r="O100" i="10"/>
  <c r="R101" i="10"/>
  <c r="O101" i="10"/>
  <c r="R102" i="10"/>
  <c r="O102" i="10"/>
  <c r="R103" i="10"/>
  <c r="O103" i="10"/>
  <c r="R104" i="10"/>
  <c r="O104" i="10"/>
  <c r="R105" i="10"/>
  <c r="O105" i="10"/>
  <c r="R106" i="10"/>
  <c r="O106" i="10"/>
  <c r="R107" i="10"/>
  <c r="O107" i="10"/>
  <c r="R108" i="10"/>
  <c r="O108" i="10"/>
  <c r="R109" i="10"/>
  <c r="O109" i="10"/>
  <c r="R110" i="10"/>
  <c r="O110" i="10"/>
  <c r="R111" i="10"/>
  <c r="O111" i="10"/>
  <c r="R112" i="10"/>
  <c r="O112" i="10"/>
  <c r="R113" i="10"/>
  <c r="O113" i="10"/>
  <c r="R114" i="10"/>
  <c r="O114" i="10"/>
  <c r="R115" i="10"/>
  <c r="O115" i="10"/>
  <c r="R116" i="10"/>
  <c r="O116" i="10"/>
  <c r="R117" i="10"/>
  <c r="O117" i="10"/>
  <c r="R118" i="10"/>
  <c r="O118" i="10"/>
  <c r="R119" i="10"/>
  <c r="O119" i="10"/>
  <c r="R120" i="10"/>
  <c r="O120" i="10"/>
  <c r="R121" i="10"/>
  <c r="O121" i="10"/>
  <c r="R122" i="10"/>
  <c r="O122" i="10"/>
  <c r="R123" i="10"/>
  <c r="O123" i="10"/>
  <c r="R124" i="10"/>
  <c r="O124" i="10"/>
  <c r="R125" i="10"/>
  <c r="O125" i="10"/>
  <c r="R126" i="10"/>
  <c r="O126" i="10"/>
  <c r="R127" i="10"/>
  <c r="O127" i="10"/>
  <c r="R128" i="10"/>
  <c r="O128" i="10"/>
  <c r="R129" i="10"/>
  <c r="O129" i="10"/>
  <c r="R130" i="10"/>
  <c r="O130" i="10"/>
  <c r="R131" i="10"/>
  <c r="O131" i="10"/>
  <c r="R132" i="10"/>
  <c r="O132" i="10"/>
  <c r="R133" i="10"/>
  <c r="O133" i="10"/>
  <c r="R134" i="10"/>
  <c r="O134" i="10"/>
  <c r="R135" i="10"/>
  <c r="O135" i="10"/>
  <c r="R136" i="10"/>
  <c r="O136" i="10"/>
  <c r="R137" i="10"/>
  <c r="O137" i="10"/>
  <c r="R138" i="10"/>
  <c r="O138" i="10"/>
  <c r="S12" i="10" l="1"/>
  <c r="N12" i="10"/>
  <c r="M12" i="10"/>
  <c r="S27" i="10"/>
  <c r="N27" i="10"/>
  <c r="M27" i="10"/>
  <c r="S29" i="10"/>
  <c r="N29" i="10"/>
  <c r="M29" i="10"/>
  <c r="S34" i="10"/>
  <c r="N34" i="10"/>
  <c r="M34" i="10"/>
  <c r="S35" i="10"/>
  <c r="N35" i="10"/>
  <c r="M35" i="10"/>
  <c r="S39" i="10"/>
  <c r="N39" i="10"/>
  <c r="M39" i="10"/>
  <c r="S58" i="10"/>
  <c r="N58" i="10"/>
  <c r="M58" i="10"/>
  <c r="S61" i="10"/>
  <c r="N61" i="10"/>
  <c r="M61" i="10"/>
  <c r="S71" i="10"/>
  <c r="N71" i="10"/>
  <c r="M71" i="10"/>
  <c r="S72" i="10"/>
  <c r="N72" i="10"/>
  <c r="M72" i="10"/>
  <c r="S78" i="10"/>
  <c r="N78" i="10"/>
  <c r="M78" i="10"/>
  <c r="S80" i="10"/>
  <c r="N80" i="10"/>
  <c r="M80" i="10"/>
  <c r="S87" i="10"/>
  <c r="N87" i="10"/>
  <c r="M87" i="10"/>
  <c r="S95" i="10"/>
  <c r="N95" i="10"/>
  <c r="M95" i="10"/>
  <c r="S101" i="10"/>
  <c r="N101" i="10"/>
  <c r="M101" i="10"/>
  <c r="S110" i="10"/>
  <c r="N110" i="10"/>
  <c r="M110" i="10"/>
  <c r="S111" i="10"/>
  <c r="N111" i="10"/>
  <c r="M111" i="10"/>
  <c r="S120" i="10"/>
  <c r="N120" i="10"/>
  <c r="M120" i="10"/>
  <c r="S121" i="10"/>
  <c r="N121" i="10"/>
  <c r="M121" i="10"/>
  <c r="S138" i="10"/>
  <c r="N138" i="10"/>
  <c r="M138" i="10"/>
  <c r="S22" i="10"/>
  <c r="N22" i="10"/>
  <c r="M22" i="10"/>
  <c r="S33" i="10"/>
  <c r="N33" i="10"/>
  <c r="M33" i="10"/>
  <c r="S41" i="10"/>
  <c r="N41" i="10"/>
  <c r="M41" i="10"/>
  <c r="S53" i="10"/>
  <c r="N53" i="10"/>
  <c r="M53" i="10"/>
  <c r="S54" i="10"/>
  <c r="N54" i="10"/>
  <c r="M54" i="10"/>
  <c r="S55" i="10"/>
  <c r="N55" i="10"/>
  <c r="M55" i="10"/>
  <c r="S56" i="10"/>
  <c r="N56" i="10"/>
  <c r="M56" i="10"/>
  <c r="S62" i="10"/>
  <c r="N62" i="10"/>
  <c r="M62" i="10"/>
  <c r="S64" i="10"/>
  <c r="N64" i="10"/>
  <c r="M64" i="10"/>
  <c r="S69" i="10"/>
  <c r="N69" i="10"/>
  <c r="M69" i="10"/>
  <c r="S81" i="10"/>
  <c r="N81" i="10"/>
  <c r="M81" i="10"/>
  <c r="S90" i="10"/>
  <c r="N90" i="10"/>
  <c r="M90" i="10"/>
  <c r="S91" i="10"/>
  <c r="N91" i="10"/>
  <c r="M91" i="10"/>
  <c r="S97" i="10"/>
  <c r="N97" i="10"/>
  <c r="M97" i="10"/>
  <c r="S113" i="10"/>
  <c r="N113" i="10"/>
  <c r="M113" i="10"/>
  <c r="E138" i="10"/>
  <c r="O138" i="7"/>
  <c r="N138" i="7"/>
  <c r="M138" i="7"/>
  <c r="L138" i="7"/>
  <c r="K138" i="7"/>
  <c r="J138" i="7"/>
  <c r="E137" i="10"/>
  <c r="O137" i="7"/>
  <c r="N137" i="7"/>
  <c r="M137" i="7"/>
  <c r="L137" i="7"/>
  <c r="K137" i="7"/>
  <c r="J137" i="7"/>
  <c r="E136" i="10"/>
  <c r="O136" i="7"/>
  <c r="N136" i="7"/>
  <c r="M136" i="7"/>
  <c r="L136" i="7"/>
  <c r="K136" i="7"/>
  <c r="J136" i="7"/>
  <c r="E135" i="10"/>
  <c r="O135" i="7"/>
  <c r="N135" i="7"/>
  <c r="M135" i="7"/>
  <c r="L135" i="7"/>
  <c r="K135" i="7"/>
  <c r="J135" i="7"/>
  <c r="E134" i="10"/>
  <c r="O134" i="7"/>
  <c r="N134" i="7"/>
  <c r="M134" i="7"/>
  <c r="L134" i="7"/>
  <c r="K134" i="7"/>
  <c r="J134" i="7"/>
  <c r="E133" i="10"/>
  <c r="O133" i="7"/>
  <c r="N133" i="7"/>
  <c r="M133" i="7"/>
  <c r="L133" i="7"/>
  <c r="K133" i="7"/>
  <c r="J133" i="7"/>
  <c r="E132" i="10"/>
  <c r="O132" i="7"/>
  <c r="N132" i="7"/>
  <c r="M132" i="7"/>
  <c r="L132" i="7"/>
  <c r="K132" i="7"/>
  <c r="J132" i="7"/>
  <c r="E131" i="10"/>
  <c r="O131" i="7"/>
  <c r="N131" i="7"/>
  <c r="M131" i="7"/>
  <c r="L131" i="7"/>
  <c r="K131" i="7"/>
  <c r="J131" i="7"/>
  <c r="E130" i="10"/>
  <c r="O130" i="7"/>
  <c r="N130" i="7"/>
  <c r="M130" i="7"/>
  <c r="L130" i="7"/>
  <c r="K130" i="7"/>
  <c r="J130" i="7"/>
  <c r="E129" i="10"/>
  <c r="O129" i="7"/>
  <c r="N129" i="7"/>
  <c r="M129" i="7"/>
  <c r="L129" i="7"/>
  <c r="K129" i="7"/>
  <c r="J129" i="7"/>
  <c r="E128" i="10"/>
  <c r="O128" i="7"/>
  <c r="N128" i="7"/>
  <c r="M128" i="7"/>
  <c r="L128" i="7"/>
  <c r="K128" i="7"/>
  <c r="J128" i="7"/>
  <c r="E127" i="10"/>
  <c r="O127" i="7"/>
  <c r="N127" i="7"/>
  <c r="M127" i="7"/>
  <c r="L127" i="7"/>
  <c r="K127" i="7"/>
  <c r="J127" i="7"/>
  <c r="E126" i="10"/>
  <c r="O126" i="7"/>
  <c r="N126" i="7"/>
  <c r="M126" i="7"/>
  <c r="L126" i="7"/>
  <c r="K126" i="7"/>
  <c r="J126" i="7"/>
  <c r="E125" i="10"/>
  <c r="O125" i="7"/>
  <c r="N125" i="7"/>
  <c r="M125" i="7"/>
  <c r="L125" i="7"/>
  <c r="K125" i="7"/>
  <c r="J125" i="7"/>
  <c r="E124" i="10"/>
  <c r="O124" i="7"/>
  <c r="N124" i="7"/>
  <c r="M124" i="7"/>
  <c r="L124" i="7"/>
  <c r="K124" i="7"/>
  <c r="J124" i="7"/>
  <c r="E123" i="10"/>
  <c r="O123" i="7"/>
  <c r="N123" i="7"/>
  <c r="M123" i="7"/>
  <c r="L123" i="7"/>
  <c r="K123" i="7"/>
  <c r="J123" i="7"/>
  <c r="E122" i="10"/>
  <c r="O122" i="7"/>
  <c r="N122" i="7"/>
  <c r="M122" i="7"/>
  <c r="L122" i="7"/>
  <c r="K122" i="7"/>
  <c r="J122" i="7"/>
  <c r="E121" i="10"/>
  <c r="O121" i="7"/>
  <c r="N121" i="7"/>
  <c r="M121" i="7"/>
  <c r="L121" i="7"/>
  <c r="K121" i="7"/>
  <c r="J121" i="7"/>
  <c r="E120" i="10"/>
  <c r="O120" i="7"/>
  <c r="N120" i="7"/>
  <c r="M120" i="7"/>
  <c r="L120" i="7"/>
  <c r="K120" i="7"/>
  <c r="J120" i="7"/>
  <c r="E119" i="10"/>
  <c r="O119" i="7"/>
  <c r="N119" i="7"/>
  <c r="M119" i="7"/>
  <c r="L119" i="7"/>
  <c r="K119" i="7"/>
  <c r="J119" i="7"/>
  <c r="E118" i="10"/>
  <c r="O118" i="7"/>
  <c r="N118" i="7"/>
  <c r="M118" i="7"/>
  <c r="L118" i="7"/>
  <c r="K118" i="7"/>
  <c r="J118" i="7"/>
  <c r="E117" i="10"/>
  <c r="O117" i="7"/>
  <c r="N117" i="7"/>
  <c r="M117" i="7"/>
  <c r="L117" i="7"/>
  <c r="K117" i="7"/>
  <c r="J117" i="7"/>
  <c r="E116" i="10"/>
  <c r="O116" i="7"/>
  <c r="N116" i="7"/>
  <c r="M116" i="7"/>
  <c r="L116" i="7"/>
  <c r="K116" i="7"/>
  <c r="J116" i="7"/>
  <c r="E115" i="10"/>
  <c r="O115" i="7"/>
  <c r="N115" i="7"/>
  <c r="M115" i="7"/>
  <c r="L115" i="7"/>
  <c r="K115" i="7"/>
  <c r="J115" i="7"/>
  <c r="E114" i="10"/>
  <c r="O114" i="7"/>
  <c r="N114" i="7"/>
  <c r="M114" i="7"/>
  <c r="L114" i="7"/>
  <c r="K114" i="7"/>
  <c r="J114" i="7"/>
  <c r="E113" i="10"/>
  <c r="O113" i="7"/>
  <c r="N113" i="7"/>
  <c r="M113" i="7"/>
  <c r="L113" i="7"/>
  <c r="K113" i="7"/>
  <c r="J113" i="7"/>
  <c r="E112" i="10"/>
  <c r="O112" i="7"/>
  <c r="N112" i="7"/>
  <c r="M112" i="7"/>
  <c r="L112" i="7"/>
  <c r="K112" i="7"/>
  <c r="J112" i="7"/>
  <c r="E111" i="10"/>
  <c r="O111" i="7"/>
  <c r="N111" i="7"/>
  <c r="M111" i="7"/>
  <c r="L111" i="7"/>
  <c r="K111" i="7"/>
  <c r="J111" i="7"/>
  <c r="E110" i="10"/>
  <c r="O110" i="7"/>
  <c r="N110" i="7"/>
  <c r="M110" i="7"/>
  <c r="L110" i="7"/>
  <c r="K110" i="7"/>
  <c r="J110" i="7"/>
  <c r="E109" i="10"/>
  <c r="O109" i="7"/>
  <c r="N109" i="7"/>
  <c r="M109" i="7"/>
  <c r="L109" i="7"/>
  <c r="K109" i="7"/>
  <c r="J109" i="7"/>
  <c r="E108" i="10"/>
  <c r="O108" i="7"/>
  <c r="N108" i="7"/>
  <c r="M108" i="7"/>
  <c r="L108" i="7"/>
  <c r="K108" i="7"/>
  <c r="J108" i="7"/>
  <c r="E107" i="10"/>
  <c r="O107" i="7"/>
  <c r="N107" i="7"/>
  <c r="M107" i="7"/>
  <c r="L107" i="7"/>
  <c r="K107" i="7"/>
  <c r="J107" i="7"/>
  <c r="E106" i="10"/>
  <c r="O106" i="7"/>
  <c r="N106" i="7"/>
  <c r="M106" i="7"/>
  <c r="L106" i="7"/>
  <c r="K106" i="7"/>
  <c r="J106" i="7"/>
  <c r="E105" i="10"/>
  <c r="O105" i="7"/>
  <c r="N105" i="7"/>
  <c r="M105" i="7"/>
  <c r="L105" i="7"/>
  <c r="K105" i="7"/>
  <c r="J105" i="7"/>
  <c r="E104" i="10"/>
  <c r="O104" i="7"/>
  <c r="N104" i="7"/>
  <c r="M104" i="7"/>
  <c r="L104" i="7"/>
  <c r="K104" i="7"/>
  <c r="J104" i="7"/>
  <c r="E103" i="10"/>
  <c r="O103" i="7"/>
  <c r="N103" i="7"/>
  <c r="M103" i="7"/>
  <c r="L103" i="7"/>
  <c r="K103" i="7"/>
  <c r="J103" i="7"/>
  <c r="E102" i="10"/>
  <c r="O102" i="7"/>
  <c r="N102" i="7"/>
  <c r="M102" i="7"/>
  <c r="L102" i="7"/>
  <c r="K102" i="7"/>
  <c r="J102" i="7"/>
  <c r="E101" i="10"/>
  <c r="O101" i="7"/>
  <c r="N101" i="7"/>
  <c r="M101" i="7"/>
  <c r="L101" i="7"/>
  <c r="K101" i="7"/>
  <c r="J101" i="7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7" i="8"/>
  <c r="F7" i="8"/>
  <c r="E7" i="8"/>
  <c r="D7" i="8"/>
  <c r="C7" i="8"/>
  <c r="B7" i="8"/>
  <c r="E40" i="10"/>
  <c r="E39" i="10"/>
  <c r="E38" i="10"/>
  <c r="E37" i="10"/>
  <c r="E36" i="10"/>
  <c r="E35" i="10"/>
  <c r="E34" i="10"/>
  <c r="E33" i="10"/>
  <c r="H13" i="8"/>
  <c r="F13" i="8"/>
  <c r="E13" i="8"/>
  <c r="D13" i="8"/>
  <c r="C13" i="8"/>
  <c r="B13" i="8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H12" i="8"/>
  <c r="F12" i="8"/>
  <c r="E12" i="8"/>
  <c r="D12" i="8"/>
  <c r="C12" i="8"/>
  <c r="B12" i="8"/>
  <c r="E17" i="10"/>
  <c r="E16" i="10"/>
  <c r="H10" i="8"/>
  <c r="F10" i="8"/>
  <c r="E10" i="8"/>
  <c r="D10" i="8"/>
  <c r="C10" i="8"/>
  <c r="B10" i="8"/>
  <c r="E15" i="10"/>
  <c r="E14" i="10"/>
  <c r="E13" i="10"/>
  <c r="E12" i="10"/>
  <c r="H5" i="8"/>
  <c r="F5" i="8"/>
  <c r="E5" i="8"/>
  <c r="D5" i="8"/>
  <c r="C5" i="8"/>
  <c r="B5" i="8"/>
  <c r="E11" i="10"/>
  <c r="E10" i="10"/>
  <c r="H11" i="8"/>
  <c r="F11" i="8"/>
  <c r="E11" i="8"/>
  <c r="D11" i="8"/>
  <c r="C11" i="8"/>
  <c r="B11" i="8"/>
  <c r="E9" i="10"/>
  <c r="H6" i="8"/>
  <c r="F6" i="8"/>
  <c r="E6" i="8"/>
  <c r="D6" i="8"/>
  <c r="C6" i="8"/>
  <c r="B6" i="8"/>
  <c r="E8" i="10"/>
  <c r="H9" i="8"/>
  <c r="F9" i="8"/>
  <c r="E9" i="8"/>
  <c r="D9" i="8"/>
  <c r="C9" i="8"/>
  <c r="B9" i="8"/>
  <c r="E7" i="10"/>
  <c r="H8" i="8"/>
  <c r="F8" i="8"/>
  <c r="E8" i="8"/>
  <c r="D8" i="8"/>
  <c r="C8" i="8"/>
  <c r="B8" i="8"/>
  <c r="E6" i="10"/>
  <c r="F14" i="8"/>
  <c r="E14" i="8"/>
  <c r="D14" i="8"/>
  <c r="C14" i="8"/>
  <c r="B14" i="8"/>
  <c r="F6" i="7"/>
  <c r="E139" i="5"/>
  <c r="F139" i="5"/>
  <c r="G139" i="5"/>
  <c r="G138" i="7"/>
  <c r="I138" i="5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K138" i="5" s="1"/>
  <c r="G137" i="7"/>
  <c r="I137" i="5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K137" i="5" s="1"/>
  <c r="G136" i="7"/>
  <c r="I136" i="5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K136" i="5" s="1"/>
  <c r="G135" i="7"/>
  <c r="I135" i="5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K135" i="5" s="1"/>
  <c r="G134" i="7"/>
  <c r="I134" i="5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K134" i="5" s="1"/>
  <c r="G133" i="7"/>
  <c r="I133" i="5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K133" i="5" s="1"/>
  <c r="G132" i="7"/>
  <c r="I132" i="5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K132" i="5" s="1"/>
  <c r="G131" i="7"/>
  <c r="I131" i="5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K131" i="5" s="1"/>
  <c r="G130" i="7"/>
  <c r="I130" i="5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K130" i="5" s="1"/>
  <c r="G129" i="7"/>
  <c r="I129" i="5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K129" i="5" s="1"/>
  <c r="G128" i="7"/>
  <c r="I128" i="5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K128" i="5" s="1"/>
  <c r="G127" i="7"/>
  <c r="I127" i="5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K127" i="5" s="1"/>
  <c r="G126" i="7"/>
  <c r="I126" i="5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K126" i="5" s="1"/>
  <c r="G125" i="7"/>
  <c r="I125" i="5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K125" i="5" s="1"/>
  <c r="G124" i="7"/>
  <c r="I124" i="5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K124" i="5" s="1"/>
  <c r="G123" i="7"/>
  <c r="I123" i="5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K123" i="5" s="1"/>
  <c r="G122" i="7"/>
  <c r="I122" i="5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K122" i="5" s="1"/>
  <c r="G121" i="7"/>
  <c r="I121" i="5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K121" i="5" s="1"/>
  <c r="G120" i="7"/>
  <c r="I120" i="5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K120" i="5" s="1"/>
  <c r="G119" i="7"/>
  <c r="I119" i="5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K119" i="5" s="1"/>
  <c r="G118" i="7"/>
  <c r="I118" i="5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K118" i="5" s="1"/>
  <c r="G117" i="7"/>
  <c r="I117" i="5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K117" i="5" s="1"/>
  <c r="G116" i="7"/>
  <c r="I116" i="5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K116" i="5" s="1"/>
  <c r="G115" i="7"/>
  <c r="I115" i="5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K115" i="5" s="1"/>
  <c r="G114" i="7"/>
  <c r="I114" i="5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K114" i="5" s="1"/>
  <c r="G113" i="7"/>
  <c r="I113" i="5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K113" i="5" s="1"/>
  <c r="G112" i="7"/>
  <c r="I112" i="5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K112" i="5" s="1"/>
  <c r="G111" i="7"/>
  <c r="I111" i="5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K111" i="5" s="1"/>
  <c r="G110" i="7"/>
  <c r="I110" i="5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K110" i="5" s="1"/>
  <c r="G109" i="7"/>
  <c r="I109" i="5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K109" i="5" s="1"/>
  <c r="G108" i="7"/>
  <c r="I108" i="5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K108" i="5" s="1"/>
  <c r="G107" i="7"/>
  <c r="I107" i="5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K107" i="5" s="1"/>
  <c r="G106" i="7"/>
  <c r="I106" i="5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K106" i="5" s="1"/>
  <c r="G105" i="7"/>
  <c r="I105" i="5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K105" i="5" s="1"/>
  <c r="G104" i="7"/>
  <c r="I104" i="5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K104" i="5" s="1"/>
  <c r="G103" i="7"/>
  <c r="I103" i="5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K103" i="5" s="1"/>
  <c r="G102" i="7"/>
  <c r="I102" i="5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K102" i="5" s="1"/>
  <c r="G101" i="7"/>
  <c r="I101" i="5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K101" i="5" s="1"/>
  <c r="G100" i="7"/>
  <c r="I100" i="5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K100" i="5" s="1"/>
  <c r="G99" i="7"/>
  <c r="I99" i="5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K99" i="5" s="1"/>
  <c r="G98" i="7"/>
  <c r="I98" i="5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K98" i="5" s="1"/>
  <c r="G97" i="7"/>
  <c r="I97" i="5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K97" i="5" s="1"/>
  <c r="G96" i="7"/>
  <c r="I96" i="5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K96" i="5" s="1"/>
  <c r="G95" i="7"/>
  <c r="I95" i="5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K95" i="5" s="1"/>
  <c r="G94" i="7"/>
  <c r="I94" i="5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K94" i="5" s="1"/>
  <c r="G93" i="7"/>
  <c r="I93" i="5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K93" i="5" s="1"/>
  <c r="G92" i="7"/>
  <c r="I92" i="5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K92" i="5" s="1"/>
  <c r="G91" i="7"/>
  <c r="I91" i="5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K91" i="5" s="1"/>
  <c r="G90" i="7"/>
  <c r="I90" i="5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K90" i="5" s="1"/>
  <c r="G89" i="7"/>
  <c r="I89" i="5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K89" i="5" s="1"/>
  <c r="G88" i="7"/>
  <c r="I88" i="5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K88" i="5" s="1"/>
  <c r="G87" i="7"/>
  <c r="I87" i="5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K87" i="5" s="1"/>
  <c r="G86" i="7"/>
  <c r="I86" i="5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K86" i="5" s="1"/>
  <c r="G85" i="7"/>
  <c r="I85" i="5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K85" i="5" s="1"/>
  <c r="G84" i="7"/>
  <c r="I84" i="5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K84" i="5" s="1"/>
  <c r="G83" i="7"/>
  <c r="I83" i="5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K83" i="5" s="1"/>
  <c r="G82" i="7"/>
  <c r="I82" i="5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K82" i="5" s="1"/>
  <c r="G81" i="7"/>
  <c r="I81" i="5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K81" i="5" s="1"/>
  <c r="G80" i="7"/>
  <c r="I80" i="5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K80" i="5" s="1"/>
  <c r="G79" i="7"/>
  <c r="I79" i="5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K79" i="5" s="1"/>
  <c r="G78" i="7"/>
  <c r="I78" i="5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K78" i="5" s="1"/>
  <c r="G77" i="7"/>
  <c r="I77" i="5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K77" i="5" s="1"/>
  <c r="G76" i="7"/>
  <c r="I76" i="5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K76" i="5" s="1"/>
  <c r="G75" i="7"/>
  <c r="I75" i="5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K75" i="5" s="1"/>
  <c r="G74" i="7"/>
  <c r="I74" i="5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K74" i="5" s="1"/>
  <c r="G73" i="7"/>
  <c r="I73" i="5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K73" i="5" s="1"/>
  <c r="G72" i="7"/>
  <c r="I72" i="5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K72" i="5" s="1"/>
  <c r="G71" i="7"/>
  <c r="I71" i="5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K71" i="5" s="1"/>
  <c r="G70" i="7"/>
  <c r="I70" i="5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K70" i="5" s="1"/>
  <c r="G69" i="7"/>
  <c r="I69" i="5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K69" i="5" s="1"/>
  <c r="G68" i="7"/>
  <c r="I68" i="5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K68" i="5" s="1"/>
  <c r="G67" i="7"/>
  <c r="I67" i="5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K67" i="5" s="1"/>
  <c r="G66" i="7"/>
  <c r="I66" i="5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K66" i="5" s="1"/>
  <c r="G65" i="7"/>
  <c r="I65" i="5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K65" i="5" s="1"/>
  <c r="G64" i="7"/>
  <c r="I64" i="5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K64" i="5" s="1"/>
  <c r="G63" i="7"/>
  <c r="I63" i="5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K63" i="5" s="1"/>
  <c r="G62" i="7"/>
  <c r="I62" i="5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K62" i="5" s="1"/>
  <c r="G61" i="7"/>
  <c r="I61" i="5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K61" i="5" s="1"/>
  <c r="G60" i="7"/>
  <c r="I60" i="5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K60" i="5" s="1"/>
  <c r="G59" i="7"/>
  <c r="I59" i="5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K59" i="5" s="1"/>
  <c r="G58" i="7"/>
  <c r="I58" i="5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K58" i="5" s="1"/>
  <c r="G57" i="7"/>
  <c r="I57" i="5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K57" i="5" s="1"/>
  <c r="G56" i="7"/>
  <c r="I56" i="5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K56" i="5" s="1"/>
  <c r="G55" i="7"/>
  <c r="I55" i="5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K55" i="5" s="1"/>
  <c r="G54" i="7"/>
  <c r="I54" i="5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K54" i="5" s="1"/>
  <c r="G53" i="7"/>
  <c r="I53" i="5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K53" i="5" s="1"/>
  <c r="G52" i="7"/>
  <c r="I52" i="5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K52" i="5" s="1"/>
  <c r="G51" i="7"/>
  <c r="I51" i="5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K51" i="5" s="1"/>
  <c r="G50" i="7"/>
  <c r="I50" i="5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K50" i="5" s="1"/>
  <c r="G49" i="7"/>
  <c r="I49" i="5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K49" i="5" s="1"/>
  <c r="G48" i="7"/>
  <c r="I48" i="5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K48" i="5" s="1"/>
  <c r="G47" i="7"/>
  <c r="I47" i="5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K47" i="5" s="1"/>
  <c r="G46" i="7"/>
  <c r="I46" i="5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K46" i="5" s="1"/>
  <c r="G45" i="7"/>
  <c r="I45" i="5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K45" i="5" s="1"/>
  <c r="G44" i="7"/>
  <c r="I44" i="5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K44" i="5" s="1"/>
  <c r="G43" i="7"/>
  <c r="I43" i="5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K43" i="5" s="1"/>
  <c r="G42" i="7"/>
  <c r="I42" i="5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K42" i="5" s="1"/>
  <c r="G41" i="7"/>
  <c r="I41" i="5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K41" i="5" s="1"/>
  <c r="G40" i="7"/>
  <c r="I40" i="5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K40" i="5" s="1"/>
  <c r="G39" i="7"/>
  <c r="I39" i="5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K39" i="5" s="1"/>
  <c r="G38" i="7"/>
  <c r="I38" i="5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K38" i="5" s="1"/>
  <c r="G37" i="7"/>
  <c r="I37" i="5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K37" i="5" s="1"/>
  <c r="G36" i="7"/>
  <c r="I36" i="5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K36" i="5" s="1"/>
  <c r="G35" i="7"/>
  <c r="I35" i="5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K35" i="5" s="1"/>
  <c r="G34" i="7"/>
  <c r="I34" i="5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K34" i="5" s="1"/>
  <c r="G33" i="7"/>
  <c r="I33" i="5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K33" i="5" s="1"/>
  <c r="G32" i="7"/>
  <c r="I32" i="5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K32" i="5" s="1"/>
  <c r="G31" i="7"/>
  <c r="I31" i="5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K31" i="5" s="1"/>
  <c r="G30" i="7"/>
  <c r="I30" i="5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K30" i="5" s="1"/>
  <c r="G29" i="7"/>
  <c r="I29" i="5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K29" i="5" s="1"/>
  <c r="G28" i="7"/>
  <c r="I28" i="5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K28" i="5" s="1"/>
  <c r="G27" i="7"/>
  <c r="I27" i="5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K27" i="5" s="1"/>
  <c r="G26" i="7"/>
  <c r="I26" i="5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K26" i="5" s="1"/>
  <c r="G25" i="7"/>
  <c r="I25" i="5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K25" i="5" s="1"/>
  <c r="G24" i="7"/>
  <c r="I24" i="5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K24" i="5" s="1"/>
  <c r="G23" i="7"/>
  <c r="I23" i="5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K23" i="5" s="1"/>
  <c r="G22" i="7"/>
  <c r="I22" i="5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K22" i="5" s="1"/>
  <c r="G21" i="7"/>
  <c r="I21" i="5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K21" i="5" s="1"/>
  <c r="G20" i="7"/>
  <c r="I20" i="5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K20" i="5" s="1"/>
  <c r="G19" i="7"/>
  <c r="I19" i="5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K19" i="5" s="1"/>
  <c r="G18" i="7"/>
  <c r="I18" i="5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K18" i="5" s="1"/>
  <c r="G17" i="7"/>
  <c r="I17" i="5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K17" i="5" s="1"/>
  <c r="G16" i="7"/>
  <c r="I16" i="5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K16" i="5" s="1"/>
  <c r="G15" i="7"/>
  <c r="I15" i="5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K15" i="5" s="1"/>
  <c r="G14" i="7"/>
  <c r="I14" i="5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K14" i="5" s="1"/>
  <c r="G13" i="7"/>
  <c r="I13" i="5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K13" i="5" s="1"/>
  <c r="G12" i="7"/>
  <c r="I12" i="5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K12" i="5" s="1"/>
  <c r="G11" i="7"/>
  <c r="I11" i="5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K11" i="5" s="1"/>
  <c r="G10" i="7"/>
  <c r="I10" i="5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K10" i="5" s="1"/>
  <c r="G9" i="7"/>
  <c r="I9" i="5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K9" i="5" s="1"/>
  <c r="G8" i="7"/>
  <c r="I8" i="5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K8" i="5" s="1"/>
  <c r="G7" i="7"/>
  <c r="I7" i="5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K7" i="5" s="1"/>
  <c r="G6" i="7"/>
  <c r="H139" i="5"/>
  <c r="J6" i="5"/>
  <c r="I6" i="5"/>
  <c r="I139" i="5" s="1"/>
  <c r="C138" i="4"/>
  <c r="X5" i="4"/>
  <c r="X138" i="4" s="1"/>
  <c r="W5" i="4"/>
  <c r="W138" i="4" s="1"/>
  <c r="V5" i="4"/>
  <c r="V138" i="4" s="1"/>
  <c r="U5" i="4"/>
  <c r="U138" i="4" s="1"/>
  <c r="T5" i="4"/>
  <c r="T138" i="4" s="1"/>
  <c r="S5" i="4"/>
  <c r="S138" i="4" s="1"/>
  <c r="R5" i="4"/>
  <c r="R138" i="4" s="1"/>
  <c r="Q5" i="4"/>
  <c r="Q138" i="4" s="1"/>
  <c r="P5" i="4"/>
  <c r="P138" i="4" s="1"/>
  <c r="O5" i="4"/>
  <c r="O138" i="4" s="1"/>
  <c r="N5" i="4"/>
  <c r="N138" i="4" s="1"/>
  <c r="M5" i="4"/>
  <c r="M138" i="4" s="1"/>
  <c r="L5" i="4"/>
  <c r="L138" i="4" s="1"/>
  <c r="K5" i="4"/>
  <c r="K138" i="4" s="1"/>
  <c r="J5" i="4"/>
  <c r="J138" i="4" s="1"/>
  <c r="I5" i="4"/>
  <c r="I138" i="4" s="1"/>
  <c r="H5" i="4"/>
  <c r="H138" i="4" s="1"/>
  <c r="G5" i="4"/>
  <c r="G138" i="4" s="1"/>
  <c r="F5" i="4"/>
  <c r="F138" i="4" s="1"/>
  <c r="E5" i="4"/>
  <c r="K138" i="3"/>
  <c r="L138" i="3"/>
  <c r="M138" i="3"/>
  <c r="N138" i="3"/>
  <c r="O138" i="3"/>
  <c r="P138" i="3"/>
  <c r="Q138" i="3"/>
  <c r="R138" i="3"/>
  <c r="S138" i="3"/>
  <c r="T138" i="3"/>
  <c r="K6" i="5" l="1"/>
  <c r="K139" i="5" s="1"/>
  <c r="E138" i="4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139" i="5" s="1"/>
  <c r="F6" i="10"/>
  <c r="H6" i="7"/>
  <c r="G14" i="8"/>
  <c r="F7" i="10"/>
  <c r="H7" i="7"/>
  <c r="G8" i="8"/>
  <c r="F8" i="10"/>
  <c r="H8" i="7"/>
  <c r="G9" i="8"/>
  <c r="F9" i="10"/>
  <c r="H9" i="7"/>
  <c r="G6" i="8"/>
  <c r="F10" i="10"/>
  <c r="H10" i="7"/>
  <c r="G11" i="8"/>
  <c r="F11" i="10"/>
  <c r="H11" i="7"/>
  <c r="F12" i="10"/>
  <c r="H12" i="7"/>
  <c r="G5" i="8"/>
  <c r="F13" i="10"/>
  <c r="H13" i="7"/>
  <c r="F14" i="10"/>
  <c r="H14" i="7"/>
  <c r="F15" i="10"/>
  <c r="H15" i="7"/>
  <c r="F16" i="10"/>
  <c r="H16" i="7"/>
  <c r="G10" i="8"/>
  <c r="F17" i="10"/>
  <c r="H17" i="7"/>
  <c r="F18" i="10"/>
  <c r="H18" i="7"/>
  <c r="G12" i="8"/>
  <c r="F19" i="10"/>
  <c r="H19" i="7"/>
  <c r="F20" i="10"/>
  <c r="H20" i="7"/>
  <c r="F21" i="10"/>
  <c r="H21" i="7"/>
  <c r="F22" i="10"/>
  <c r="H22" i="7"/>
  <c r="F23" i="10"/>
  <c r="H23" i="7"/>
  <c r="F24" i="10"/>
  <c r="H24" i="7"/>
  <c r="F25" i="10"/>
  <c r="H25" i="7"/>
  <c r="F26" i="10"/>
  <c r="H26" i="7"/>
  <c r="F27" i="10"/>
  <c r="H27" i="7"/>
  <c r="F28" i="10"/>
  <c r="H28" i="7"/>
  <c r="F29" i="10"/>
  <c r="H29" i="7"/>
  <c r="F30" i="10"/>
  <c r="H30" i="7"/>
  <c r="F31" i="10"/>
  <c r="H31" i="7"/>
  <c r="F32" i="10"/>
  <c r="H32" i="7"/>
  <c r="F33" i="10"/>
  <c r="H33" i="7"/>
  <c r="G13" i="8"/>
  <c r="F34" i="10"/>
  <c r="H34" i="7"/>
  <c r="F35" i="10"/>
  <c r="H35" i="7"/>
  <c r="F36" i="10"/>
  <c r="H36" i="7"/>
  <c r="F37" i="10"/>
  <c r="H37" i="7"/>
  <c r="F38" i="10"/>
  <c r="H38" i="7"/>
  <c r="F39" i="10"/>
  <c r="H39" i="7"/>
  <c r="F40" i="10"/>
  <c r="H40" i="7"/>
  <c r="F41" i="10"/>
  <c r="H41" i="7"/>
  <c r="G7" i="8"/>
  <c r="F42" i="10"/>
  <c r="H42" i="7"/>
  <c r="F43" i="10"/>
  <c r="H43" i="7"/>
  <c r="F44" i="10"/>
  <c r="H44" i="7"/>
  <c r="F45" i="10"/>
  <c r="H45" i="7"/>
  <c r="F46" i="10"/>
  <c r="H46" i="7"/>
  <c r="F47" i="10"/>
  <c r="H47" i="7"/>
  <c r="F48" i="10"/>
  <c r="H48" i="7"/>
  <c r="F49" i="10"/>
  <c r="H49" i="7"/>
  <c r="F50" i="10"/>
  <c r="H50" i="7"/>
  <c r="F51" i="10"/>
  <c r="H51" i="7"/>
  <c r="F52" i="10"/>
  <c r="H52" i="7"/>
  <c r="F53" i="10"/>
  <c r="H53" i="7"/>
  <c r="F54" i="10"/>
  <c r="H54" i="7"/>
  <c r="F55" i="10"/>
  <c r="H55" i="7"/>
  <c r="F56" i="10"/>
  <c r="H56" i="7"/>
  <c r="F57" i="10"/>
  <c r="H57" i="7"/>
  <c r="F58" i="10"/>
  <c r="H58" i="7"/>
  <c r="F59" i="10"/>
  <c r="H59" i="7"/>
  <c r="F60" i="10"/>
  <c r="H60" i="7"/>
  <c r="F61" i="10"/>
  <c r="H61" i="7"/>
  <c r="F62" i="10"/>
  <c r="H62" i="7"/>
  <c r="F63" i="10"/>
  <c r="H63" i="7"/>
  <c r="F64" i="10"/>
  <c r="H64" i="7"/>
  <c r="F65" i="10"/>
  <c r="H65" i="7"/>
  <c r="F66" i="10"/>
  <c r="H66" i="7"/>
  <c r="F67" i="10"/>
  <c r="H67" i="7"/>
  <c r="F68" i="10"/>
  <c r="H68" i="7"/>
  <c r="F69" i="10"/>
  <c r="H69" i="7"/>
  <c r="F70" i="10"/>
  <c r="H70" i="7"/>
  <c r="F71" i="10"/>
  <c r="H71" i="7"/>
  <c r="F72" i="10"/>
  <c r="H72" i="7"/>
  <c r="F73" i="10"/>
  <c r="H73" i="7"/>
  <c r="F74" i="10"/>
  <c r="H74" i="7"/>
  <c r="F75" i="10"/>
  <c r="H75" i="7"/>
  <c r="F76" i="10"/>
  <c r="H76" i="7"/>
  <c r="F77" i="10"/>
  <c r="H77" i="7"/>
  <c r="F78" i="10"/>
  <c r="H78" i="7"/>
  <c r="F79" i="10"/>
  <c r="H79" i="7"/>
  <c r="F80" i="10"/>
  <c r="H80" i="7"/>
  <c r="F81" i="10"/>
  <c r="H81" i="7"/>
  <c r="F82" i="10"/>
  <c r="H82" i="7"/>
  <c r="F83" i="10"/>
  <c r="H83" i="7"/>
  <c r="F84" i="10"/>
  <c r="H84" i="7"/>
  <c r="F85" i="10"/>
  <c r="H85" i="7"/>
  <c r="F86" i="10"/>
  <c r="H86" i="7"/>
  <c r="F87" i="10"/>
  <c r="H87" i="7"/>
  <c r="F88" i="10"/>
  <c r="H88" i="7"/>
  <c r="F89" i="10"/>
  <c r="H89" i="7"/>
  <c r="F90" i="10"/>
  <c r="H90" i="7"/>
  <c r="F91" i="10"/>
  <c r="H91" i="7"/>
  <c r="F92" i="10"/>
  <c r="H92" i="7"/>
  <c r="F93" i="10"/>
  <c r="H93" i="7"/>
  <c r="F94" i="10"/>
  <c r="H94" i="7"/>
  <c r="F95" i="10"/>
  <c r="H95" i="7"/>
  <c r="F96" i="10"/>
  <c r="H96" i="7"/>
  <c r="F97" i="10"/>
  <c r="H97" i="7"/>
  <c r="F98" i="10"/>
  <c r="H98" i="7"/>
  <c r="F99" i="10"/>
  <c r="H99" i="7"/>
  <c r="F100" i="10"/>
  <c r="H100" i="7"/>
  <c r="F101" i="10"/>
  <c r="H101" i="7"/>
  <c r="F102" i="10"/>
  <c r="H102" i="7"/>
  <c r="F103" i="10"/>
  <c r="H103" i="7"/>
  <c r="F104" i="10"/>
  <c r="H104" i="7"/>
  <c r="F105" i="10"/>
  <c r="H105" i="7"/>
  <c r="F106" i="10"/>
  <c r="H106" i="7"/>
  <c r="F107" i="10"/>
  <c r="H107" i="7"/>
  <c r="F108" i="10"/>
  <c r="H108" i="7"/>
  <c r="F109" i="10"/>
  <c r="H109" i="7"/>
  <c r="F110" i="10"/>
  <c r="H110" i="7"/>
  <c r="F111" i="10"/>
  <c r="H111" i="7"/>
  <c r="F112" i="10"/>
  <c r="H112" i="7"/>
  <c r="F113" i="10"/>
  <c r="H113" i="7"/>
  <c r="F114" i="10"/>
  <c r="H114" i="7"/>
  <c r="F115" i="10"/>
  <c r="H115" i="7"/>
  <c r="F116" i="10"/>
  <c r="H116" i="7"/>
  <c r="F117" i="10"/>
  <c r="H117" i="7"/>
  <c r="F118" i="10"/>
  <c r="H118" i="7"/>
  <c r="F119" i="10"/>
  <c r="H119" i="7"/>
  <c r="F120" i="10"/>
  <c r="H120" i="7"/>
  <c r="F121" i="10"/>
  <c r="H121" i="7"/>
  <c r="F122" i="10"/>
  <c r="H122" i="7"/>
  <c r="F123" i="10"/>
  <c r="H123" i="7"/>
  <c r="F124" i="10"/>
  <c r="H124" i="7"/>
  <c r="F125" i="10"/>
  <c r="H125" i="7"/>
  <c r="F126" i="10"/>
  <c r="H126" i="7"/>
  <c r="F127" i="10"/>
  <c r="H127" i="7"/>
  <c r="F128" i="10"/>
  <c r="H128" i="7"/>
  <c r="F129" i="10"/>
  <c r="H129" i="7"/>
  <c r="F130" i="10"/>
  <c r="H130" i="7"/>
  <c r="F131" i="10"/>
  <c r="H131" i="7"/>
  <c r="F132" i="10"/>
  <c r="H132" i="7"/>
  <c r="F133" i="10"/>
  <c r="H133" i="7"/>
  <c r="F134" i="10"/>
  <c r="H134" i="7"/>
  <c r="F135" i="10"/>
  <c r="H135" i="7"/>
  <c r="F136" i="10"/>
  <c r="H136" i="7"/>
  <c r="F137" i="10"/>
  <c r="H137" i="7"/>
  <c r="F138" i="10"/>
  <c r="K138" i="10" s="1"/>
  <c r="H138" i="7"/>
  <c r="G6" i="10"/>
  <c r="H14" i="8"/>
  <c r="B15" i="8"/>
  <c r="C15" i="8"/>
  <c r="D15" i="8"/>
  <c r="E15" i="8"/>
  <c r="F15" i="8"/>
  <c r="H15" i="8"/>
  <c r="P12" i="10"/>
  <c r="P22" i="10"/>
  <c r="P27" i="10"/>
  <c r="P29" i="10"/>
  <c r="P33" i="10"/>
  <c r="P34" i="10"/>
  <c r="P35" i="10"/>
  <c r="P39" i="10"/>
  <c r="P41" i="10"/>
  <c r="P53" i="10"/>
  <c r="P54" i="10"/>
  <c r="P55" i="10"/>
  <c r="P56" i="10"/>
  <c r="P58" i="10"/>
  <c r="P61" i="10"/>
  <c r="P62" i="10"/>
  <c r="P64" i="10"/>
  <c r="P69" i="10"/>
  <c r="P71" i="10"/>
  <c r="P72" i="10"/>
  <c r="P78" i="10"/>
  <c r="P80" i="10"/>
  <c r="P81" i="10"/>
  <c r="P87" i="10"/>
  <c r="P90" i="10"/>
  <c r="P91" i="10"/>
  <c r="P95" i="10"/>
  <c r="P97" i="10"/>
  <c r="Q101" i="10"/>
  <c r="P101" i="10"/>
  <c r="Q102" i="10"/>
  <c r="P102" i="10"/>
  <c r="Q103" i="10"/>
  <c r="P103" i="10"/>
  <c r="Q104" i="10"/>
  <c r="P104" i="10"/>
  <c r="Q105" i="10"/>
  <c r="P105" i="10"/>
  <c r="Q106" i="10"/>
  <c r="P106" i="10"/>
  <c r="Q107" i="10"/>
  <c r="P107" i="10"/>
  <c r="Q108" i="10"/>
  <c r="P108" i="10"/>
  <c r="Q109" i="10"/>
  <c r="P109" i="10"/>
  <c r="Q110" i="10"/>
  <c r="P110" i="10"/>
  <c r="Q111" i="10"/>
  <c r="P111" i="10"/>
  <c r="Q112" i="10"/>
  <c r="P112" i="10"/>
  <c r="Q113" i="10"/>
  <c r="P113" i="10"/>
  <c r="Q114" i="10"/>
  <c r="P114" i="10"/>
  <c r="Q115" i="10"/>
  <c r="P115" i="10"/>
  <c r="Q116" i="10"/>
  <c r="P116" i="10"/>
  <c r="Q117" i="10"/>
  <c r="P117" i="10"/>
  <c r="Q118" i="10"/>
  <c r="P118" i="10"/>
  <c r="Q119" i="10"/>
  <c r="P119" i="10"/>
  <c r="Q120" i="10"/>
  <c r="P120" i="10"/>
  <c r="Q121" i="10"/>
  <c r="P121" i="10"/>
  <c r="Q122" i="10"/>
  <c r="P122" i="10"/>
  <c r="Q123" i="10"/>
  <c r="P123" i="10"/>
  <c r="Q124" i="10"/>
  <c r="P124" i="10"/>
  <c r="Q125" i="10"/>
  <c r="P125" i="10"/>
  <c r="Q126" i="10"/>
  <c r="P126" i="10"/>
  <c r="Q127" i="10"/>
  <c r="P127" i="10"/>
  <c r="Q128" i="10"/>
  <c r="P128" i="10"/>
  <c r="Q129" i="10"/>
  <c r="P129" i="10"/>
  <c r="Q130" i="10"/>
  <c r="P130" i="10"/>
  <c r="Q131" i="10"/>
  <c r="P131" i="10"/>
  <c r="Q132" i="10"/>
  <c r="P132" i="10"/>
  <c r="Q133" i="10"/>
  <c r="P133" i="10"/>
  <c r="Q134" i="10"/>
  <c r="P134" i="10"/>
  <c r="Q135" i="10"/>
  <c r="P135" i="10"/>
  <c r="Q136" i="10"/>
  <c r="P136" i="10"/>
  <c r="Q137" i="10"/>
  <c r="P137" i="10"/>
  <c r="Q138" i="10"/>
  <c r="P138" i="10"/>
  <c r="K137" i="10" l="1"/>
  <c r="L137" i="10" s="1"/>
  <c r="K136" i="10"/>
  <c r="L136" i="10" s="1"/>
  <c r="K135" i="10"/>
  <c r="L135" i="10" s="1"/>
  <c r="K134" i="10"/>
  <c r="L134" i="10" s="1"/>
  <c r="K133" i="10"/>
  <c r="L133" i="10" s="1"/>
  <c r="K132" i="10"/>
  <c r="L132" i="10" s="1"/>
  <c r="K131" i="10"/>
  <c r="L131" i="10" s="1"/>
  <c r="K130" i="10"/>
  <c r="L130" i="10" s="1"/>
  <c r="K129" i="10"/>
  <c r="L129" i="10" s="1"/>
  <c r="K128" i="10"/>
  <c r="L128" i="10" s="1"/>
  <c r="K127" i="10"/>
  <c r="L127" i="10" s="1"/>
  <c r="K126" i="10"/>
  <c r="L126" i="10" s="1"/>
  <c r="K125" i="10"/>
  <c r="L125" i="10" s="1"/>
  <c r="K124" i="10"/>
  <c r="L124" i="10" s="1"/>
  <c r="K123" i="10"/>
  <c r="L123" i="10" s="1"/>
  <c r="K122" i="10"/>
  <c r="L122" i="10" s="1"/>
  <c r="K121" i="10"/>
  <c r="K120" i="10"/>
  <c r="K119" i="10"/>
  <c r="L119" i="10" s="1"/>
  <c r="K118" i="10"/>
  <c r="L118" i="10" s="1"/>
  <c r="K117" i="10"/>
  <c r="L117" i="10" s="1"/>
  <c r="K116" i="10"/>
  <c r="L116" i="10" s="1"/>
  <c r="K115" i="10"/>
  <c r="L115" i="10" s="1"/>
  <c r="K114" i="10"/>
  <c r="L114" i="10" s="1"/>
  <c r="K113" i="10"/>
  <c r="K112" i="10"/>
  <c r="L112" i="10" s="1"/>
  <c r="K111" i="10"/>
  <c r="K110" i="10"/>
  <c r="K109" i="10"/>
  <c r="L109" i="10" s="1"/>
  <c r="K108" i="10"/>
  <c r="L108" i="10" s="1"/>
  <c r="K107" i="10"/>
  <c r="L107" i="10" s="1"/>
  <c r="K106" i="10"/>
  <c r="L106" i="10" s="1"/>
  <c r="K105" i="10"/>
  <c r="L105" i="10" s="1"/>
  <c r="K104" i="10"/>
  <c r="L104" i="10" s="1"/>
  <c r="K103" i="10"/>
  <c r="L103" i="10" s="1"/>
  <c r="K102" i="10"/>
  <c r="L102" i="10" s="1"/>
  <c r="K101" i="10"/>
  <c r="O100" i="7"/>
  <c r="J100" i="7"/>
  <c r="K100" i="10"/>
  <c r="L100" i="10" s="1"/>
  <c r="O99" i="7"/>
  <c r="J99" i="7"/>
  <c r="K99" i="10"/>
  <c r="L99" i="10" s="1"/>
  <c r="O98" i="7"/>
  <c r="J98" i="7"/>
  <c r="K98" i="10"/>
  <c r="L98" i="10" s="1"/>
  <c r="O97" i="7"/>
  <c r="J97" i="7"/>
  <c r="K97" i="10"/>
  <c r="O96" i="7"/>
  <c r="J96" i="7"/>
  <c r="K96" i="10"/>
  <c r="L96" i="10" s="1"/>
  <c r="O95" i="7"/>
  <c r="J95" i="7"/>
  <c r="K95" i="10"/>
  <c r="O94" i="7"/>
  <c r="J94" i="7"/>
  <c r="K94" i="10"/>
  <c r="L94" i="10" s="1"/>
  <c r="O93" i="7"/>
  <c r="J93" i="7"/>
  <c r="K93" i="10"/>
  <c r="L93" i="10" s="1"/>
  <c r="O92" i="7"/>
  <c r="J92" i="7"/>
  <c r="K92" i="10"/>
  <c r="L92" i="10" s="1"/>
  <c r="O91" i="7"/>
  <c r="J91" i="7"/>
  <c r="K91" i="10"/>
  <c r="O90" i="7"/>
  <c r="J90" i="7"/>
  <c r="K90" i="10"/>
  <c r="O89" i="7"/>
  <c r="J89" i="7"/>
  <c r="K89" i="10"/>
  <c r="L89" i="10" s="1"/>
  <c r="O88" i="7"/>
  <c r="J88" i="7"/>
  <c r="K88" i="10"/>
  <c r="L88" i="10" s="1"/>
  <c r="O87" i="7"/>
  <c r="J87" i="7"/>
  <c r="K87" i="10"/>
  <c r="O86" i="7"/>
  <c r="J86" i="7"/>
  <c r="K86" i="10"/>
  <c r="L86" i="10" s="1"/>
  <c r="O85" i="7"/>
  <c r="J85" i="7"/>
  <c r="K85" i="10"/>
  <c r="L85" i="10" s="1"/>
  <c r="O84" i="7"/>
  <c r="J84" i="7"/>
  <c r="K84" i="10"/>
  <c r="L84" i="10" s="1"/>
  <c r="O83" i="7"/>
  <c r="J83" i="7"/>
  <c r="K83" i="10"/>
  <c r="L83" i="10" s="1"/>
  <c r="O82" i="7"/>
  <c r="J82" i="7"/>
  <c r="K82" i="10"/>
  <c r="L82" i="10" s="1"/>
  <c r="O81" i="7"/>
  <c r="J81" i="7"/>
  <c r="K81" i="10"/>
  <c r="O80" i="7"/>
  <c r="J80" i="7"/>
  <c r="K80" i="10"/>
  <c r="O79" i="7"/>
  <c r="J79" i="7"/>
  <c r="K79" i="10"/>
  <c r="L79" i="10" s="1"/>
  <c r="O78" i="7"/>
  <c r="J78" i="7"/>
  <c r="K78" i="10"/>
  <c r="O77" i="7"/>
  <c r="J77" i="7"/>
  <c r="K77" i="10"/>
  <c r="L77" i="10" s="1"/>
  <c r="O76" i="7"/>
  <c r="J76" i="7"/>
  <c r="K76" i="10"/>
  <c r="L76" i="10" s="1"/>
  <c r="O75" i="7"/>
  <c r="J75" i="7"/>
  <c r="K75" i="10"/>
  <c r="L75" i="10" s="1"/>
  <c r="O74" i="7"/>
  <c r="J74" i="7"/>
  <c r="K74" i="10"/>
  <c r="L74" i="10" s="1"/>
  <c r="O73" i="7"/>
  <c r="J73" i="7"/>
  <c r="K73" i="10"/>
  <c r="L73" i="10" s="1"/>
  <c r="O72" i="7"/>
  <c r="J72" i="7"/>
  <c r="K72" i="10"/>
  <c r="O71" i="7"/>
  <c r="J71" i="7"/>
  <c r="K71" i="10"/>
  <c r="O70" i="7"/>
  <c r="J70" i="7"/>
  <c r="K70" i="10"/>
  <c r="L70" i="10" s="1"/>
  <c r="O69" i="7"/>
  <c r="J69" i="7"/>
  <c r="K69" i="10"/>
  <c r="O68" i="7"/>
  <c r="J68" i="7"/>
  <c r="K68" i="10"/>
  <c r="L68" i="10" s="1"/>
  <c r="O67" i="7"/>
  <c r="J67" i="7"/>
  <c r="K67" i="10"/>
  <c r="L67" i="10" s="1"/>
  <c r="O66" i="7"/>
  <c r="J66" i="7"/>
  <c r="K66" i="10"/>
  <c r="L66" i="10" s="1"/>
  <c r="O65" i="7"/>
  <c r="J65" i="7"/>
  <c r="K65" i="10"/>
  <c r="L65" i="10" s="1"/>
  <c r="O64" i="7"/>
  <c r="J64" i="7"/>
  <c r="K64" i="10"/>
  <c r="O63" i="7"/>
  <c r="J63" i="7"/>
  <c r="K63" i="10"/>
  <c r="L63" i="10" s="1"/>
  <c r="O62" i="7"/>
  <c r="J62" i="7"/>
  <c r="K62" i="10"/>
  <c r="O61" i="7"/>
  <c r="J61" i="7"/>
  <c r="K61" i="10"/>
  <c r="O60" i="7"/>
  <c r="J60" i="7"/>
  <c r="K60" i="10"/>
  <c r="L60" i="10" s="1"/>
  <c r="O59" i="7"/>
  <c r="J59" i="7"/>
  <c r="K59" i="10"/>
  <c r="L59" i="10" s="1"/>
  <c r="O58" i="7"/>
  <c r="J58" i="7"/>
  <c r="K58" i="10"/>
  <c r="O57" i="7"/>
  <c r="J57" i="7"/>
  <c r="K57" i="10"/>
  <c r="L57" i="10" s="1"/>
  <c r="O56" i="7"/>
  <c r="J56" i="7"/>
  <c r="K56" i="10"/>
  <c r="O55" i="7"/>
  <c r="J55" i="7"/>
  <c r="K55" i="10"/>
  <c r="O54" i="7"/>
  <c r="J54" i="7"/>
  <c r="K54" i="10"/>
  <c r="O53" i="7"/>
  <c r="J53" i="7"/>
  <c r="K53" i="10"/>
  <c r="O52" i="7"/>
  <c r="J52" i="7"/>
  <c r="K52" i="10"/>
  <c r="L52" i="10" s="1"/>
  <c r="O51" i="7"/>
  <c r="J51" i="7"/>
  <c r="K51" i="10"/>
  <c r="L51" i="10" s="1"/>
  <c r="O50" i="7"/>
  <c r="J50" i="7"/>
  <c r="K50" i="10"/>
  <c r="L50" i="10" s="1"/>
  <c r="O49" i="7"/>
  <c r="J49" i="7"/>
  <c r="K49" i="10"/>
  <c r="L49" i="10" s="1"/>
  <c r="O48" i="7"/>
  <c r="J48" i="7"/>
  <c r="K48" i="10"/>
  <c r="L48" i="10" s="1"/>
  <c r="O47" i="7"/>
  <c r="J47" i="7"/>
  <c r="K47" i="10"/>
  <c r="L47" i="10" s="1"/>
  <c r="O46" i="7"/>
  <c r="J46" i="7"/>
  <c r="K46" i="10"/>
  <c r="L46" i="10" s="1"/>
  <c r="O45" i="7"/>
  <c r="J45" i="7"/>
  <c r="K45" i="10"/>
  <c r="L45" i="10" s="1"/>
  <c r="O44" i="7"/>
  <c r="J44" i="7"/>
  <c r="K44" i="10"/>
  <c r="L44" i="10" s="1"/>
  <c r="O43" i="7"/>
  <c r="J43" i="7"/>
  <c r="K43" i="10"/>
  <c r="L43" i="10" s="1"/>
  <c r="O42" i="7"/>
  <c r="J42" i="7"/>
  <c r="K42" i="10"/>
  <c r="L42" i="10" s="1"/>
  <c r="O41" i="7"/>
  <c r="I7" i="8" s="1"/>
  <c r="J41" i="7"/>
  <c r="K41" i="10"/>
  <c r="O40" i="7"/>
  <c r="J40" i="7"/>
  <c r="K40" i="10"/>
  <c r="L40" i="10" s="1"/>
  <c r="O39" i="7"/>
  <c r="J39" i="7"/>
  <c r="K39" i="10"/>
  <c r="O38" i="7"/>
  <c r="J38" i="7"/>
  <c r="K38" i="10"/>
  <c r="L38" i="10" s="1"/>
  <c r="O37" i="7"/>
  <c r="J37" i="7"/>
  <c r="K37" i="10"/>
  <c r="L37" i="10" s="1"/>
  <c r="O36" i="7"/>
  <c r="J36" i="7"/>
  <c r="K36" i="10"/>
  <c r="L36" i="10" s="1"/>
  <c r="O35" i="7"/>
  <c r="J35" i="7"/>
  <c r="K35" i="10"/>
  <c r="O34" i="7"/>
  <c r="J34" i="7"/>
  <c r="K34" i="10"/>
  <c r="O33" i="7"/>
  <c r="I13" i="8" s="1"/>
  <c r="J33" i="7"/>
  <c r="K33" i="10"/>
  <c r="O32" i="7"/>
  <c r="J32" i="7"/>
  <c r="K32" i="10"/>
  <c r="L32" i="10" s="1"/>
  <c r="O31" i="7"/>
  <c r="J31" i="7"/>
  <c r="K31" i="10"/>
  <c r="L31" i="10" s="1"/>
  <c r="O30" i="7"/>
  <c r="J30" i="7"/>
  <c r="K30" i="10"/>
  <c r="L30" i="10" s="1"/>
  <c r="O29" i="7"/>
  <c r="J29" i="7"/>
  <c r="K29" i="10"/>
  <c r="O28" i="7"/>
  <c r="J28" i="7"/>
  <c r="K28" i="10"/>
  <c r="L28" i="10" s="1"/>
  <c r="O27" i="7"/>
  <c r="J27" i="7"/>
  <c r="K27" i="10"/>
  <c r="O26" i="7"/>
  <c r="J26" i="7"/>
  <c r="K26" i="10"/>
  <c r="L26" i="10" s="1"/>
  <c r="O25" i="7"/>
  <c r="J25" i="7"/>
  <c r="K25" i="10"/>
  <c r="L25" i="10" s="1"/>
  <c r="O24" i="7"/>
  <c r="J24" i="7"/>
  <c r="K24" i="10"/>
  <c r="L24" i="10" s="1"/>
  <c r="O23" i="7"/>
  <c r="J23" i="7"/>
  <c r="K23" i="10"/>
  <c r="L23" i="10" s="1"/>
  <c r="O22" i="7"/>
  <c r="J22" i="7"/>
  <c r="K22" i="10"/>
  <c r="O21" i="7"/>
  <c r="J21" i="7"/>
  <c r="K21" i="10"/>
  <c r="L21" i="10" s="1"/>
  <c r="O20" i="7"/>
  <c r="J20" i="7"/>
  <c r="K20" i="10"/>
  <c r="L20" i="10" s="1"/>
  <c r="O19" i="7"/>
  <c r="J19" i="7"/>
  <c r="K19" i="10"/>
  <c r="L19" i="10" s="1"/>
  <c r="O18" i="7"/>
  <c r="I12" i="8" s="1"/>
  <c r="J18" i="7"/>
  <c r="K18" i="10"/>
  <c r="L18" i="10" s="1"/>
  <c r="O17" i="7"/>
  <c r="J17" i="7"/>
  <c r="K17" i="10"/>
  <c r="L17" i="10" s="1"/>
  <c r="O16" i="7"/>
  <c r="I10" i="8" s="1"/>
  <c r="J16" i="7"/>
  <c r="K16" i="10"/>
  <c r="L16" i="10" s="1"/>
  <c r="O15" i="7"/>
  <c r="J15" i="7"/>
  <c r="K15" i="10"/>
  <c r="L15" i="10" s="1"/>
  <c r="O14" i="7"/>
  <c r="J14" i="7"/>
  <c r="K14" i="10"/>
  <c r="L14" i="10" s="1"/>
  <c r="O13" i="7"/>
  <c r="J13" i="7"/>
  <c r="K13" i="10"/>
  <c r="L13" i="10" s="1"/>
  <c r="G15" i="8"/>
  <c r="O12" i="7"/>
  <c r="I5" i="8" s="1"/>
  <c r="J12" i="7"/>
  <c r="K12" i="10"/>
  <c r="O11" i="7"/>
  <c r="J11" i="7"/>
  <c r="K11" i="10"/>
  <c r="L11" i="10" s="1"/>
  <c r="O10" i="7"/>
  <c r="I11" i="8" s="1"/>
  <c r="J10" i="7"/>
  <c r="K10" i="10"/>
  <c r="L10" i="10" s="1"/>
  <c r="O9" i="7"/>
  <c r="I6" i="8" s="1"/>
  <c r="J9" i="7"/>
  <c r="K9" i="10"/>
  <c r="L9" i="10" s="1"/>
  <c r="O8" i="7"/>
  <c r="I9" i="8" s="1"/>
  <c r="J8" i="7"/>
  <c r="K8" i="10"/>
  <c r="L8" i="10" s="1"/>
  <c r="O7" i="7"/>
  <c r="I8" i="8" s="1"/>
  <c r="J7" i="7"/>
  <c r="K7" i="10"/>
  <c r="L7" i="10" s="1"/>
  <c r="O6" i="7"/>
  <c r="I14" i="8" s="1"/>
  <c r="J6" i="7"/>
  <c r="K6" i="7" s="1"/>
  <c r="L6" i="7" s="1"/>
  <c r="K6" i="10"/>
  <c r="L6" i="10" s="1"/>
  <c r="S6" i="10" l="1"/>
  <c r="N6" i="10"/>
  <c r="P6" i="10" s="1"/>
  <c r="M6" i="10"/>
  <c r="M6" i="7"/>
  <c r="N6" i="7"/>
  <c r="S7" i="10"/>
  <c r="N7" i="10"/>
  <c r="P7" i="10" s="1"/>
  <c r="M7" i="10"/>
  <c r="K7" i="7"/>
  <c r="L7" i="7" s="1"/>
  <c r="S8" i="10"/>
  <c r="N8" i="10"/>
  <c r="P8" i="10" s="1"/>
  <c r="M8" i="10"/>
  <c r="K8" i="7"/>
  <c r="L8" i="7" s="1"/>
  <c r="S9" i="10"/>
  <c r="N9" i="10"/>
  <c r="P9" i="10" s="1"/>
  <c r="M9" i="10"/>
  <c r="K9" i="7"/>
  <c r="L9" i="7" s="1"/>
  <c r="S10" i="10"/>
  <c r="N10" i="10"/>
  <c r="P10" i="10" s="1"/>
  <c r="M10" i="10"/>
  <c r="K10" i="7"/>
  <c r="L10" i="7" s="1"/>
  <c r="S11" i="10"/>
  <c r="N11" i="10"/>
  <c r="P11" i="10" s="1"/>
  <c r="M11" i="10"/>
  <c r="K11" i="7"/>
  <c r="L11" i="7" s="1"/>
  <c r="K12" i="7"/>
  <c r="L12" i="7" s="1"/>
  <c r="S13" i="10"/>
  <c r="N13" i="10"/>
  <c r="P13" i="10" s="1"/>
  <c r="M13" i="10"/>
  <c r="K13" i="7"/>
  <c r="L13" i="7" s="1"/>
  <c r="S14" i="10"/>
  <c r="N14" i="10"/>
  <c r="P14" i="10" s="1"/>
  <c r="M14" i="10"/>
  <c r="K14" i="7"/>
  <c r="L14" i="7" s="1"/>
  <c r="S15" i="10"/>
  <c r="N15" i="10"/>
  <c r="P15" i="10" s="1"/>
  <c r="M15" i="10"/>
  <c r="K15" i="7"/>
  <c r="L15" i="7" s="1"/>
  <c r="S16" i="10"/>
  <c r="N16" i="10"/>
  <c r="P16" i="10" s="1"/>
  <c r="M16" i="10"/>
  <c r="K16" i="7"/>
  <c r="L16" i="7" s="1"/>
  <c r="S17" i="10"/>
  <c r="N17" i="10"/>
  <c r="P17" i="10" s="1"/>
  <c r="M17" i="10"/>
  <c r="K17" i="7"/>
  <c r="L17" i="7" s="1"/>
  <c r="S18" i="10"/>
  <c r="N18" i="10"/>
  <c r="P18" i="10" s="1"/>
  <c r="M18" i="10"/>
  <c r="K18" i="7"/>
  <c r="L18" i="7" s="1"/>
  <c r="S19" i="10"/>
  <c r="N19" i="10"/>
  <c r="P19" i="10" s="1"/>
  <c r="M19" i="10"/>
  <c r="K19" i="7"/>
  <c r="L19" i="7" s="1"/>
  <c r="S20" i="10"/>
  <c r="N20" i="10"/>
  <c r="P20" i="10" s="1"/>
  <c r="M20" i="10"/>
  <c r="K20" i="7"/>
  <c r="L20" i="7" s="1"/>
  <c r="S21" i="10"/>
  <c r="N21" i="10"/>
  <c r="P21" i="10" s="1"/>
  <c r="M21" i="10"/>
  <c r="K21" i="7"/>
  <c r="L21" i="7" s="1"/>
  <c r="K22" i="7"/>
  <c r="L22" i="7" s="1"/>
  <c r="S23" i="10"/>
  <c r="N23" i="10"/>
  <c r="P23" i="10" s="1"/>
  <c r="M23" i="10"/>
  <c r="K23" i="7"/>
  <c r="L23" i="7" s="1"/>
  <c r="S24" i="10"/>
  <c r="N24" i="10"/>
  <c r="P24" i="10" s="1"/>
  <c r="M24" i="10"/>
  <c r="K24" i="7"/>
  <c r="L24" i="7" s="1"/>
  <c r="S25" i="10"/>
  <c r="N25" i="10"/>
  <c r="P25" i="10" s="1"/>
  <c r="M25" i="10"/>
  <c r="K25" i="7"/>
  <c r="L25" i="7" s="1"/>
  <c r="S26" i="10"/>
  <c r="N26" i="10"/>
  <c r="P26" i="10" s="1"/>
  <c r="M26" i="10"/>
  <c r="K26" i="7"/>
  <c r="L26" i="7" s="1"/>
  <c r="K27" i="7"/>
  <c r="L27" i="7" s="1"/>
  <c r="S28" i="10"/>
  <c r="N28" i="10"/>
  <c r="P28" i="10" s="1"/>
  <c r="M28" i="10"/>
  <c r="K28" i="7"/>
  <c r="L28" i="7" s="1"/>
  <c r="K29" i="7"/>
  <c r="L29" i="7" s="1"/>
  <c r="S30" i="10"/>
  <c r="N30" i="10"/>
  <c r="P30" i="10" s="1"/>
  <c r="M30" i="10"/>
  <c r="K30" i="7"/>
  <c r="L30" i="7" s="1"/>
  <c r="S31" i="10"/>
  <c r="N31" i="10"/>
  <c r="P31" i="10" s="1"/>
  <c r="M31" i="10"/>
  <c r="K31" i="7"/>
  <c r="L31" i="7" s="1"/>
  <c r="S32" i="10"/>
  <c r="N32" i="10"/>
  <c r="P32" i="10" s="1"/>
  <c r="M32" i="10"/>
  <c r="K32" i="7"/>
  <c r="L32" i="7" s="1"/>
  <c r="K33" i="7"/>
  <c r="L33" i="7" s="1"/>
  <c r="K34" i="7"/>
  <c r="L34" i="7" s="1"/>
  <c r="K35" i="7"/>
  <c r="L35" i="7" s="1"/>
  <c r="S36" i="10"/>
  <c r="N36" i="10"/>
  <c r="P36" i="10" s="1"/>
  <c r="M36" i="10"/>
  <c r="K36" i="7"/>
  <c r="L36" i="7" s="1"/>
  <c r="S37" i="10"/>
  <c r="N37" i="10"/>
  <c r="P37" i="10" s="1"/>
  <c r="M37" i="10"/>
  <c r="K37" i="7"/>
  <c r="L37" i="7" s="1"/>
  <c r="S38" i="10"/>
  <c r="N38" i="10"/>
  <c r="P38" i="10" s="1"/>
  <c r="M38" i="10"/>
  <c r="K38" i="7"/>
  <c r="L38" i="7" s="1"/>
  <c r="K39" i="7"/>
  <c r="L39" i="7" s="1"/>
  <c r="S40" i="10"/>
  <c r="N40" i="10"/>
  <c r="P40" i="10" s="1"/>
  <c r="M40" i="10"/>
  <c r="K40" i="7"/>
  <c r="L40" i="7" s="1"/>
  <c r="K41" i="7"/>
  <c r="L41" i="7" s="1"/>
  <c r="S42" i="10"/>
  <c r="N42" i="10"/>
  <c r="P42" i="10" s="1"/>
  <c r="M42" i="10"/>
  <c r="K42" i="7"/>
  <c r="L42" i="7" s="1"/>
  <c r="S43" i="10"/>
  <c r="N43" i="10"/>
  <c r="P43" i="10" s="1"/>
  <c r="M43" i="10"/>
  <c r="K43" i="7"/>
  <c r="L43" i="7" s="1"/>
  <c r="S44" i="10"/>
  <c r="N44" i="10"/>
  <c r="P44" i="10" s="1"/>
  <c r="M44" i="10"/>
  <c r="K44" i="7"/>
  <c r="L44" i="7" s="1"/>
  <c r="S45" i="10"/>
  <c r="N45" i="10"/>
  <c r="P45" i="10" s="1"/>
  <c r="M45" i="10"/>
  <c r="K45" i="7"/>
  <c r="L45" i="7" s="1"/>
  <c r="S46" i="10"/>
  <c r="N46" i="10"/>
  <c r="P46" i="10" s="1"/>
  <c r="M46" i="10"/>
  <c r="K46" i="7"/>
  <c r="L46" i="7" s="1"/>
  <c r="S47" i="10"/>
  <c r="N47" i="10"/>
  <c r="P47" i="10" s="1"/>
  <c r="M47" i="10"/>
  <c r="K47" i="7"/>
  <c r="L47" i="7" s="1"/>
  <c r="S48" i="10"/>
  <c r="N48" i="10"/>
  <c r="P48" i="10" s="1"/>
  <c r="M48" i="10"/>
  <c r="K48" i="7"/>
  <c r="L48" i="7" s="1"/>
  <c r="S49" i="10"/>
  <c r="N49" i="10"/>
  <c r="P49" i="10" s="1"/>
  <c r="M49" i="10"/>
  <c r="K49" i="7"/>
  <c r="L49" i="7" s="1"/>
  <c r="S50" i="10"/>
  <c r="N50" i="10"/>
  <c r="P50" i="10" s="1"/>
  <c r="M50" i="10"/>
  <c r="K50" i="7"/>
  <c r="L50" i="7" s="1"/>
  <c r="S51" i="10"/>
  <c r="N51" i="10"/>
  <c r="P51" i="10" s="1"/>
  <c r="M51" i="10"/>
  <c r="K51" i="7"/>
  <c r="L51" i="7" s="1"/>
  <c r="S52" i="10"/>
  <c r="N52" i="10"/>
  <c r="P52" i="10" s="1"/>
  <c r="M52" i="10"/>
  <c r="K52" i="7"/>
  <c r="L52" i="7" s="1"/>
  <c r="K53" i="7"/>
  <c r="L53" i="7" s="1"/>
  <c r="K54" i="7"/>
  <c r="L54" i="7" s="1"/>
  <c r="K55" i="7"/>
  <c r="L55" i="7" s="1"/>
  <c r="K56" i="7"/>
  <c r="L56" i="7" s="1"/>
  <c r="S57" i="10"/>
  <c r="N57" i="10"/>
  <c r="P57" i="10" s="1"/>
  <c r="M57" i="10"/>
  <c r="K57" i="7"/>
  <c r="L57" i="7" s="1"/>
  <c r="K58" i="7"/>
  <c r="L58" i="7" s="1"/>
  <c r="S59" i="10"/>
  <c r="N59" i="10"/>
  <c r="P59" i="10" s="1"/>
  <c r="M59" i="10"/>
  <c r="K59" i="7"/>
  <c r="L59" i="7" s="1"/>
  <c r="S60" i="10"/>
  <c r="N60" i="10"/>
  <c r="P60" i="10" s="1"/>
  <c r="M60" i="10"/>
  <c r="K60" i="7"/>
  <c r="L60" i="7" s="1"/>
  <c r="K61" i="7"/>
  <c r="L61" i="7" s="1"/>
  <c r="K62" i="7"/>
  <c r="L62" i="7" s="1"/>
  <c r="S63" i="10"/>
  <c r="N63" i="10"/>
  <c r="P63" i="10" s="1"/>
  <c r="M63" i="10"/>
  <c r="K63" i="7"/>
  <c r="L63" i="7" s="1"/>
  <c r="K64" i="7"/>
  <c r="L64" i="7" s="1"/>
  <c r="S65" i="10"/>
  <c r="N65" i="10"/>
  <c r="P65" i="10" s="1"/>
  <c r="M65" i="10"/>
  <c r="K65" i="7"/>
  <c r="L65" i="7" s="1"/>
  <c r="S66" i="10"/>
  <c r="N66" i="10"/>
  <c r="P66" i="10" s="1"/>
  <c r="M66" i="10"/>
  <c r="K66" i="7"/>
  <c r="L66" i="7" s="1"/>
  <c r="S67" i="10"/>
  <c r="N67" i="10"/>
  <c r="P67" i="10" s="1"/>
  <c r="M67" i="10"/>
  <c r="K67" i="7"/>
  <c r="L67" i="7" s="1"/>
  <c r="S68" i="10"/>
  <c r="N68" i="10"/>
  <c r="P68" i="10" s="1"/>
  <c r="M68" i="10"/>
  <c r="K68" i="7"/>
  <c r="L68" i="7" s="1"/>
  <c r="K69" i="7"/>
  <c r="L69" i="7" s="1"/>
  <c r="S70" i="10"/>
  <c r="N70" i="10"/>
  <c r="P70" i="10" s="1"/>
  <c r="M70" i="10"/>
  <c r="K70" i="7"/>
  <c r="L70" i="7" s="1"/>
  <c r="K71" i="7"/>
  <c r="L71" i="7" s="1"/>
  <c r="K72" i="7"/>
  <c r="L72" i="7" s="1"/>
  <c r="S73" i="10"/>
  <c r="N73" i="10"/>
  <c r="P73" i="10" s="1"/>
  <c r="M73" i="10"/>
  <c r="K73" i="7"/>
  <c r="L73" i="7" s="1"/>
  <c r="S74" i="10"/>
  <c r="N74" i="10"/>
  <c r="P74" i="10" s="1"/>
  <c r="M74" i="10"/>
  <c r="K74" i="7"/>
  <c r="L74" i="7" s="1"/>
  <c r="S75" i="10"/>
  <c r="N75" i="10"/>
  <c r="P75" i="10" s="1"/>
  <c r="M75" i="10"/>
  <c r="K75" i="7"/>
  <c r="L75" i="7" s="1"/>
  <c r="S76" i="10"/>
  <c r="N76" i="10"/>
  <c r="P76" i="10" s="1"/>
  <c r="M76" i="10"/>
  <c r="K76" i="7"/>
  <c r="L76" i="7" s="1"/>
  <c r="S77" i="10"/>
  <c r="N77" i="10"/>
  <c r="P77" i="10" s="1"/>
  <c r="M77" i="10"/>
  <c r="K77" i="7"/>
  <c r="L77" i="7" s="1"/>
  <c r="K78" i="7"/>
  <c r="L78" i="7" s="1"/>
  <c r="S79" i="10"/>
  <c r="N79" i="10"/>
  <c r="P79" i="10" s="1"/>
  <c r="M79" i="10"/>
  <c r="K79" i="7"/>
  <c r="L79" i="7" s="1"/>
  <c r="K80" i="7"/>
  <c r="L80" i="7" s="1"/>
  <c r="K81" i="7"/>
  <c r="L81" i="7" s="1"/>
  <c r="S82" i="10"/>
  <c r="N82" i="10"/>
  <c r="P82" i="10" s="1"/>
  <c r="M82" i="10"/>
  <c r="K82" i="7"/>
  <c r="L82" i="7" s="1"/>
  <c r="S83" i="10"/>
  <c r="N83" i="10"/>
  <c r="P83" i="10" s="1"/>
  <c r="M83" i="10"/>
  <c r="K83" i="7"/>
  <c r="L83" i="7" s="1"/>
  <c r="S84" i="10"/>
  <c r="N84" i="10"/>
  <c r="P84" i="10" s="1"/>
  <c r="M84" i="10"/>
  <c r="K84" i="7"/>
  <c r="L84" i="7" s="1"/>
  <c r="S85" i="10"/>
  <c r="N85" i="10"/>
  <c r="P85" i="10" s="1"/>
  <c r="M85" i="10"/>
  <c r="K85" i="7"/>
  <c r="L85" i="7" s="1"/>
  <c r="S86" i="10"/>
  <c r="N86" i="10"/>
  <c r="P86" i="10" s="1"/>
  <c r="M86" i="10"/>
  <c r="K86" i="7"/>
  <c r="L86" i="7" s="1"/>
  <c r="K87" i="7"/>
  <c r="L87" i="7" s="1"/>
  <c r="S88" i="10"/>
  <c r="N88" i="10"/>
  <c r="P88" i="10" s="1"/>
  <c r="M88" i="10"/>
  <c r="K88" i="7"/>
  <c r="L88" i="7" s="1"/>
  <c r="S89" i="10"/>
  <c r="N89" i="10"/>
  <c r="P89" i="10" s="1"/>
  <c r="M89" i="10"/>
  <c r="K89" i="7"/>
  <c r="L89" i="7" s="1"/>
  <c r="K90" i="7"/>
  <c r="L90" i="7" s="1"/>
  <c r="K91" i="7"/>
  <c r="L91" i="7" s="1"/>
  <c r="S92" i="10"/>
  <c r="N92" i="10"/>
  <c r="P92" i="10" s="1"/>
  <c r="M92" i="10"/>
  <c r="K92" i="7"/>
  <c r="L92" i="7" s="1"/>
  <c r="S93" i="10"/>
  <c r="N93" i="10"/>
  <c r="P93" i="10" s="1"/>
  <c r="M93" i="10"/>
  <c r="K93" i="7"/>
  <c r="L93" i="7" s="1"/>
  <c r="S94" i="10"/>
  <c r="N94" i="10"/>
  <c r="P94" i="10" s="1"/>
  <c r="M94" i="10"/>
  <c r="K94" i="7"/>
  <c r="L94" i="7" s="1"/>
  <c r="K95" i="7"/>
  <c r="L95" i="7" s="1"/>
  <c r="S96" i="10"/>
  <c r="N96" i="10"/>
  <c r="P96" i="10" s="1"/>
  <c r="M96" i="10"/>
  <c r="K96" i="7"/>
  <c r="L96" i="7" s="1"/>
  <c r="K97" i="7"/>
  <c r="L97" i="7" s="1"/>
  <c r="S98" i="10"/>
  <c r="N98" i="10"/>
  <c r="P98" i="10" s="1"/>
  <c r="M98" i="10"/>
  <c r="K98" i="7"/>
  <c r="L98" i="7" s="1"/>
  <c r="S99" i="10"/>
  <c r="N99" i="10"/>
  <c r="P99" i="10" s="1"/>
  <c r="M99" i="10"/>
  <c r="K99" i="7"/>
  <c r="L99" i="7" s="1"/>
  <c r="S100" i="10"/>
  <c r="N100" i="10"/>
  <c r="P100" i="10" s="1"/>
  <c r="Q100" i="10" s="1"/>
  <c r="M100" i="10"/>
  <c r="K100" i="7"/>
  <c r="L100" i="7" s="1"/>
  <c r="S102" i="10"/>
  <c r="N102" i="10"/>
  <c r="M102" i="10"/>
  <c r="S103" i="10"/>
  <c r="N103" i="10"/>
  <c r="M103" i="10"/>
  <c r="S104" i="10"/>
  <c r="N104" i="10"/>
  <c r="M104" i="10"/>
  <c r="S105" i="10"/>
  <c r="N105" i="10"/>
  <c r="M105" i="10"/>
  <c r="S106" i="10"/>
  <c r="N106" i="10"/>
  <c r="M106" i="10"/>
  <c r="S107" i="10"/>
  <c r="N107" i="10"/>
  <c r="M107" i="10"/>
  <c r="S108" i="10"/>
  <c r="N108" i="10"/>
  <c r="M108" i="10"/>
  <c r="S109" i="10"/>
  <c r="N109" i="10"/>
  <c r="M109" i="10"/>
  <c r="S112" i="10"/>
  <c r="N112" i="10"/>
  <c r="M112" i="10"/>
  <c r="S114" i="10"/>
  <c r="N114" i="10"/>
  <c r="M114" i="10"/>
  <c r="S115" i="10"/>
  <c r="N115" i="10"/>
  <c r="M115" i="10"/>
  <c r="S116" i="10"/>
  <c r="N116" i="10"/>
  <c r="M116" i="10"/>
  <c r="S117" i="10"/>
  <c r="N117" i="10"/>
  <c r="M117" i="10"/>
  <c r="S118" i="10"/>
  <c r="N118" i="10"/>
  <c r="M118" i="10"/>
  <c r="S119" i="10"/>
  <c r="N119" i="10"/>
  <c r="M119" i="10"/>
  <c r="S122" i="10"/>
  <c r="N122" i="10"/>
  <c r="M122" i="10"/>
  <c r="S123" i="10"/>
  <c r="N123" i="10"/>
  <c r="M123" i="10"/>
  <c r="S124" i="10"/>
  <c r="N124" i="10"/>
  <c r="M124" i="10"/>
  <c r="S125" i="10"/>
  <c r="N125" i="10"/>
  <c r="M125" i="10"/>
  <c r="S126" i="10"/>
  <c r="N126" i="10"/>
  <c r="M126" i="10"/>
  <c r="S127" i="10"/>
  <c r="N127" i="10"/>
  <c r="M127" i="10"/>
  <c r="S128" i="10"/>
  <c r="N128" i="10"/>
  <c r="M128" i="10"/>
  <c r="S129" i="10"/>
  <c r="N129" i="10"/>
  <c r="M129" i="10"/>
  <c r="S130" i="10"/>
  <c r="N130" i="10"/>
  <c r="M130" i="10"/>
  <c r="S131" i="10"/>
  <c r="N131" i="10"/>
  <c r="M131" i="10"/>
  <c r="S132" i="10"/>
  <c r="N132" i="10"/>
  <c r="M132" i="10"/>
  <c r="S133" i="10"/>
  <c r="N133" i="10"/>
  <c r="M133" i="10"/>
  <c r="S134" i="10"/>
  <c r="N134" i="10"/>
  <c r="M134" i="10"/>
  <c r="S135" i="10"/>
  <c r="N135" i="10"/>
  <c r="M135" i="10"/>
  <c r="S136" i="10"/>
  <c r="N136" i="10"/>
  <c r="M136" i="10"/>
  <c r="S137" i="10"/>
  <c r="N137" i="10"/>
  <c r="M137" i="10"/>
  <c r="N100" i="7" l="1"/>
  <c r="M100" i="7"/>
  <c r="N99" i="7"/>
  <c r="M99" i="7"/>
  <c r="Q99" i="10"/>
  <c r="N98" i="7"/>
  <c r="M98" i="7"/>
  <c r="Q98" i="10"/>
  <c r="N97" i="7"/>
  <c r="M97" i="7"/>
  <c r="N96" i="7"/>
  <c r="M96" i="7"/>
  <c r="Q96" i="10"/>
  <c r="N95" i="7"/>
  <c r="M95" i="7"/>
  <c r="N94" i="7"/>
  <c r="M94" i="7"/>
  <c r="Q94" i="10"/>
  <c r="N93" i="7"/>
  <c r="M93" i="7"/>
  <c r="Q93" i="10"/>
  <c r="N92" i="7"/>
  <c r="M92" i="7"/>
  <c r="Q92" i="10"/>
  <c r="N91" i="7"/>
  <c r="M91" i="7"/>
  <c r="N90" i="7"/>
  <c r="M90" i="7"/>
  <c r="N89" i="7"/>
  <c r="M89" i="7"/>
  <c r="Q89" i="10"/>
  <c r="N88" i="7"/>
  <c r="M88" i="7"/>
  <c r="Q88" i="10"/>
  <c r="N87" i="7"/>
  <c r="M87" i="7"/>
  <c r="N86" i="7"/>
  <c r="M86" i="7"/>
  <c r="Q86" i="10"/>
  <c r="N85" i="7"/>
  <c r="M85" i="7"/>
  <c r="Q85" i="10"/>
  <c r="N84" i="7"/>
  <c r="M84" i="7"/>
  <c r="Q84" i="10"/>
  <c r="N83" i="7"/>
  <c r="M83" i="7"/>
  <c r="Q83" i="10"/>
  <c r="N82" i="7"/>
  <c r="M82" i="7"/>
  <c r="Q82" i="10"/>
  <c r="N81" i="7"/>
  <c r="M81" i="7"/>
  <c r="N80" i="7"/>
  <c r="M80" i="7"/>
  <c r="N79" i="7"/>
  <c r="M79" i="7"/>
  <c r="Q79" i="10"/>
  <c r="N78" i="7"/>
  <c r="M78" i="7"/>
  <c r="N77" i="7"/>
  <c r="M77" i="7"/>
  <c r="Q77" i="10"/>
  <c r="N76" i="7"/>
  <c r="M76" i="7"/>
  <c r="Q76" i="10"/>
  <c r="N75" i="7"/>
  <c r="M75" i="7"/>
  <c r="Q75" i="10"/>
  <c r="N74" i="7"/>
  <c r="M74" i="7"/>
  <c r="Q74" i="10"/>
  <c r="N73" i="7"/>
  <c r="M73" i="7"/>
  <c r="Q73" i="10"/>
  <c r="N72" i="7"/>
  <c r="M72" i="7"/>
  <c r="N71" i="7"/>
  <c r="M71" i="7"/>
  <c r="N70" i="7"/>
  <c r="M70" i="7"/>
  <c r="Q70" i="10"/>
  <c r="N69" i="7"/>
  <c r="M69" i="7"/>
  <c r="N68" i="7"/>
  <c r="M68" i="7"/>
  <c r="Q68" i="10"/>
  <c r="N67" i="7"/>
  <c r="M67" i="7"/>
  <c r="Q67" i="10"/>
  <c r="N66" i="7"/>
  <c r="M66" i="7"/>
  <c r="Q66" i="10"/>
  <c r="N65" i="7"/>
  <c r="M65" i="7"/>
  <c r="Q65" i="10"/>
  <c r="N64" i="7"/>
  <c r="M64" i="7"/>
  <c r="N63" i="7"/>
  <c r="M63" i="7"/>
  <c r="Q63" i="10"/>
  <c r="N62" i="7"/>
  <c r="M62" i="7"/>
  <c r="N61" i="7"/>
  <c r="M61" i="7"/>
  <c r="N60" i="7"/>
  <c r="M60" i="7"/>
  <c r="Q60" i="10"/>
  <c r="N59" i="7"/>
  <c r="M59" i="7"/>
  <c r="Q59" i="10"/>
  <c r="N58" i="7"/>
  <c r="M58" i="7"/>
  <c r="N57" i="7"/>
  <c r="M57" i="7"/>
  <c r="Q57" i="10"/>
  <c r="N56" i="7"/>
  <c r="M56" i="7"/>
  <c r="N55" i="7"/>
  <c r="M55" i="7"/>
  <c r="N54" i="7"/>
  <c r="M54" i="7"/>
  <c r="N53" i="7"/>
  <c r="M53" i="7"/>
  <c r="N52" i="7"/>
  <c r="M52" i="7"/>
  <c r="Q52" i="10"/>
  <c r="N51" i="7"/>
  <c r="M51" i="7"/>
  <c r="Q51" i="10"/>
  <c r="N50" i="7"/>
  <c r="M50" i="7"/>
  <c r="Q50" i="10"/>
  <c r="N49" i="7"/>
  <c r="M49" i="7"/>
  <c r="Q49" i="10"/>
  <c r="N48" i="7"/>
  <c r="M48" i="7"/>
  <c r="Q48" i="10"/>
  <c r="N47" i="7"/>
  <c r="M47" i="7"/>
  <c r="Q47" i="10"/>
  <c r="N46" i="7"/>
  <c r="M46" i="7"/>
  <c r="Q46" i="10"/>
  <c r="N45" i="7"/>
  <c r="M45" i="7"/>
  <c r="Q45" i="10"/>
  <c r="N44" i="7"/>
  <c r="M44" i="7"/>
  <c r="Q44" i="10"/>
  <c r="N43" i="7"/>
  <c r="M43" i="7"/>
  <c r="Q43" i="10"/>
  <c r="N42" i="7"/>
  <c r="M42" i="7"/>
  <c r="Q42" i="10"/>
  <c r="N41" i="7"/>
  <c r="M41" i="7"/>
  <c r="N40" i="7"/>
  <c r="M40" i="7"/>
  <c r="Q40" i="10"/>
  <c r="N39" i="7"/>
  <c r="M39" i="7"/>
  <c r="N38" i="7"/>
  <c r="M38" i="7"/>
  <c r="Q38" i="10"/>
  <c r="N37" i="7"/>
  <c r="M37" i="7"/>
  <c r="Q37" i="10"/>
  <c r="N36" i="7"/>
  <c r="M36" i="7"/>
  <c r="Q36" i="10"/>
  <c r="N35" i="7"/>
  <c r="M35" i="7"/>
  <c r="N34" i="7"/>
  <c r="M34" i="7"/>
  <c r="N33" i="7"/>
  <c r="M33" i="7"/>
  <c r="N32" i="7"/>
  <c r="M32" i="7"/>
  <c r="Q32" i="10"/>
  <c r="N31" i="7"/>
  <c r="M31" i="7"/>
  <c r="Q31" i="10"/>
  <c r="N30" i="7"/>
  <c r="M30" i="7"/>
  <c r="Q30" i="10"/>
  <c r="N29" i="7"/>
  <c r="M29" i="7"/>
  <c r="N28" i="7"/>
  <c r="M28" i="7"/>
  <c r="Q28" i="10"/>
  <c r="N27" i="7"/>
  <c r="M27" i="7"/>
  <c r="N26" i="7"/>
  <c r="M26" i="7"/>
  <c r="Q26" i="10"/>
  <c r="N25" i="7"/>
  <c r="M25" i="7"/>
  <c r="Q25" i="10"/>
  <c r="N24" i="7"/>
  <c r="M24" i="7"/>
  <c r="Q24" i="10"/>
  <c r="N23" i="7"/>
  <c r="M23" i="7"/>
  <c r="Q23" i="10"/>
  <c r="N22" i="7"/>
  <c r="M22" i="7"/>
  <c r="N21" i="7"/>
  <c r="M21" i="7"/>
  <c r="Q21" i="10"/>
  <c r="N20" i="7"/>
  <c r="M20" i="7"/>
  <c r="Q20" i="10"/>
  <c r="N19" i="7"/>
  <c r="M19" i="7"/>
  <c r="Q19" i="10"/>
  <c r="N18" i="7"/>
  <c r="M18" i="7"/>
  <c r="Q18" i="10"/>
  <c r="N17" i="7"/>
  <c r="M17" i="7"/>
  <c r="Q17" i="10"/>
  <c r="N16" i="7"/>
  <c r="M16" i="7"/>
  <c r="Q16" i="10"/>
  <c r="N15" i="7"/>
  <c r="M15" i="7"/>
  <c r="Q15" i="10"/>
  <c r="N14" i="7"/>
  <c r="M14" i="7"/>
  <c r="Q14" i="10"/>
  <c r="N13" i="7"/>
  <c r="M13" i="7"/>
  <c r="Q13" i="10"/>
  <c r="N12" i="7"/>
  <c r="M12" i="7"/>
  <c r="N11" i="7"/>
  <c r="M11" i="7"/>
  <c r="Q11" i="10"/>
  <c r="N10" i="7"/>
  <c r="M10" i="7"/>
  <c r="Q10" i="10"/>
  <c r="N9" i="7"/>
  <c r="M9" i="7"/>
  <c r="Q9" i="10"/>
  <c r="N8" i="7"/>
  <c r="M8" i="7"/>
  <c r="Q8" i="10"/>
  <c r="N7" i="7"/>
  <c r="M7" i="7"/>
  <c r="Q7" i="10"/>
  <c r="Q6" i="10"/>
  <c r="Q97" i="10"/>
  <c r="Q95" i="10"/>
  <c r="Q91" i="10"/>
  <c r="Q90" i="10"/>
  <c r="Q87" i="10"/>
  <c r="Q81" i="10"/>
  <c r="Q80" i="10"/>
  <c r="Q78" i="10"/>
  <c r="Q72" i="10"/>
  <c r="Q71" i="10"/>
  <c r="Q69" i="10"/>
  <c r="Q64" i="10"/>
  <c r="Q62" i="10"/>
  <c r="Q61" i="10"/>
  <c r="Q58" i="10"/>
  <c r="Q56" i="10"/>
  <c r="Q55" i="10"/>
  <c r="Q54" i="10"/>
  <c r="Q53" i="10"/>
  <c r="Q41" i="10"/>
  <c r="Q39" i="10"/>
  <c r="Q35" i="10"/>
  <c r="Q34" i="10"/>
  <c r="Q33" i="10"/>
  <c r="Q29" i="10"/>
  <c r="Q27" i="10"/>
  <c r="Q22" i="10"/>
  <c r="Q12" i="10"/>
  <c r="J14" i="8"/>
  <c r="J13" i="8"/>
  <c r="J12" i="8"/>
  <c r="J11" i="8"/>
  <c r="J10" i="8"/>
  <c r="J9" i="8"/>
  <c r="J8" i="8"/>
  <c r="J7" i="8"/>
  <c r="J6" i="8"/>
  <c r="J5" i="8"/>
</calcChain>
</file>

<file path=xl/sharedStrings.xml><?xml version="1.0" encoding="utf-8"?>
<sst xmlns="http://schemas.openxmlformats.org/spreadsheetml/2006/main" count="1101" uniqueCount="547">
  <si>
    <t>Virginia Retail Sales Tax by Locality — 10-Year History, 20-Year Projection, and 1%-for-Schools Profile</t>
  </si>
  <si>
    <t>What this workbook contains</t>
  </si>
  <si>
    <t>Assumptions — statewide control totals and every growth lever the model uses. Yellow cells are yours to change.</t>
  </si>
  <si>
    <t>Historical FY16-FY25 — retail sales tax distributed to each of Virginia's 95 counties and 38 independent cities.</t>
  </si>
  <si>
    <t>Projection FY26-FY45 — 20-year forward projection of that distribution, locality by locality.</t>
  </si>
  <si>
    <t>Schools 1pct Profile — what a dedicated 1% school sales tax would raise in each locality, per year and cumulatively.</t>
  </si>
  <si>
    <t>Source data</t>
  </si>
  <si>
    <t>Virginia Department of Taxation, Annual Report, Table 4.3 'Local Sales Tax Distribution'.</t>
  </si>
  <si>
    <t>https://www.tax.virginia.gov/annual-reports</t>
  </si>
  <si>
    <t>FY2025 report (pp. 32-33) and FY2019 report (pp. 29-30) — full locality detail, entered as actuals (blue text).</t>
  </si>
  <si>
    <t>Table 4.1 of the FY2025 report — statewide Local Option totals for every year FY2016-FY2025, entered as actuals.</t>
  </si>
  <si>
    <t>Transcription check: the 133 locality figures sum to the published statewide totals within $5 (report rounding).</t>
  </si>
  <si>
    <t>The two revenue streams in Table 4.3</t>
  </si>
  <si>
    <t>Share of State Tax — the existing 1% of the 4.3% state sales tax that is returned to localities FOR EDUCATION,</t>
  </si>
  <si>
    <t xml:space="preserve">     distributed by school-age population, not by where the sale happened. Virginia already does a '1% for schools'.</t>
  </si>
  <si>
    <t>Local Option — the 1% local sales tax, distributed by point of sale. This is the locality's own general revenue.</t>
  </si>
  <si>
    <t>Together these are the retail sales tax dollars that actually reach a county or city. Total FY2025: $3.44 billion.</t>
  </si>
  <si>
    <t>How the 10-year history was built (important)</t>
  </si>
  <si>
    <t>Locality-level actuals were taken from two report years: FY2019 and FY2025. Those two columns are hard actuals.</t>
  </si>
  <si>
    <t>The other eight years are MODELLED, not published figures. Each year uses the ACTUAL statewide total for that year</t>
  </si>
  <si>
    <t>and allocates it by each locality's share, interpolated linearly between its FY2019 share and its FY2025 share.</t>
  </si>
  <si>
    <t>The statewide totals are real; the locality split for FY16-18 and FY20-24 is an estimate. It reproduces FY2019 and</t>
  </si>
  <si>
    <t>FY2025 exactly. If you need every year to be a published actual, the eight remaining annual reports have to be read</t>
  </si>
  <si>
    <t>in — say the word and I'll extend the model with those anchor years.</t>
  </si>
  <si>
    <t>How the projection works</t>
  </si>
  <si>
    <t>Each locality's growth rate = statewide baseline rate + (weight x how much that locality out- or under-grew the state</t>
  </si>
  <si>
    <t>between FY2019 and FY2025), then held inside a floor and a ceiling. The weight damps small localities whose six-year</t>
  </si>
  <si>
    <t>growth rate would be reckless to run out 20 years. Set the weight to 0 to grow everyone at the statewide rate.</t>
  </si>
  <si>
    <t>All growth is NOMINAL — it includes inflation. FY2019-FY2025 spans the post-COVID price surge, so the historical</t>
  </si>
  <si>
    <t>CAGR runs hot. For a conservative case, lower the baseline rate on the Assumptions tab to 3.0%-3.5%.</t>
  </si>
  <si>
    <t>The '1% for schools' tab — two readings, both provided</t>
  </si>
  <si>
    <t>Your request could mean either of two very different things, so the tab shows both side by side:</t>
  </si>
  <si>
    <t>(1) A NEW 1% local sales tax dedicated to schools. Virginia already permits this — Va. Code 58.1-605.1 lets a</t>
  </si>
  <si>
    <t xml:space="preserve">     locality levy up to an extra 1% for school construction, by referendum. Halifax, Henry, Charlotte, Gloucester,</t>
  </si>
  <si>
    <t xml:space="preserve">     Northampton, Patrick and Pittsylvania counties and Danville City have done it. Because that levy has the same</t>
  </si>
  <si>
    <t xml:space="preserve">     base and the same point-of-sale distribution as the existing 1% Local Option, this workbook estimates its yield</t>
  </si>
  <si>
    <t xml:space="preserve">     as equal to projected Local Option collections. This is the main set of columns.</t>
  </si>
  <si>
    <t>(2) Setting aside 1% OF projected sales tax revenue for schools. That is roughly one-two-hundredth of reading (1).</t>
  </si>
  <si>
    <t xml:space="preserve">     It is the last column, labelled 'Alt reading'.</t>
  </si>
  <si>
    <t>Caveats worth putting in front of any decision-maker</t>
  </si>
  <si>
    <t>Not a revenue forecast. It is a trend extrapolation. It assumes no rate changes, no base changes, no annexations,</t>
  </si>
  <si>
    <t>no recessions and no shift in where people shop. Twenty years is well past the horizon where that holds.</t>
  </si>
  <si>
    <t>The FY2023 elimination of the state grocery tax already broke the relationship between the two columns — the</t>
  </si>
  <si>
    <t>education share fell from ~100% of Local Option in FY2019 to ~83% in FY2025. Similar policy changes will recur.</t>
  </si>
  <si>
    <t>The estimate for a new 1% school levy assumes an identical tax base. Statute exempts food and essential personal</t>
  </si>
  <si>
    <t>hygiene products from the school levy in some formulations — check current law before relying on the figure.</t>
  </si>
  <si>
    <t>Any locality-specific number here should be validated against that locality's own CAFR before it goes in a plan.</t>
  </si>
  <si>
    <t>Colour key: blue = published actual · black = formula · green = link to another tab · yellow fill = your input</t>
  </si>
  <si>
    <t>Added later: the opportunity model</t>
  </si>
  <si>
    <t>Opportunity Controls — status multipliers, scope, and the levers behind the ranking.</t>
  </si>
  <si>
    <t>Opportunity Model — every locality scored and heat-mapped for performance contracting potential.</t>
  </si>
  <si>
    <t>Region Summary — the same picture rolled up by region.</t>
  </si>
  <si>
    <t>The 2026-28 state budget opened the 1% school levy to every county and city, effective 1 July 2026.</t>
  </si>
  <si>
    <t>Status flags are only as good as the referendum filings behind them — update the Status column.</t>
  </si>
  <si>
    <t>Assumptions &amp; Statewide Control Totals</t>
  </si>
  <si>
    <t>Yellow cells are inputs you can change. Everything downstream recalculates.</t>
  </si>
  <si>
    <t>Fiscal Year</t>
  </si>
  <si>
    <t>Statewide Local Option 1% ($)</t>
  </si>
  <si>
    <t>Ratio: Ed Share / Local Option</t>
  </si>
  <si>
    <t>Statewide State 1% Education Share ($)</t>
  </si>
  <si>
    <t>Statewide Total Distributed to Localities ($)</t>
  </si>
  <si>
    <t>Blue = published actual. FY2019 and FY2025 education-share figures are the Table 4.3 aggregates;</t>
  </si>
  <si>
    <t>Other years are modelled. The education share tracked Local Option almost 1:1 through FY2022, so the ratio is</t>
  </si>
  <si>
    <t>held flat to FY2022, then interpolated down to the FY2025 actual — the drop follows the Jan-2023 grocery tax repeal.</t>
  </si>
  <si>
    <t>Derived growth rates</t>
  </si>
  <si>
    <t>Statewide Local Option CAGR, FY2016-FY2025 (9 yrs)</t>
  </si>
  <si>
    <t>Statewide Local Option CAGR, FY2019-FY2025 (6 yrs)</t>
  </si>
  <si>
    <t>Statewide Total Distribution CAGR, FY2019-FY2025</t>
  </si>
  <si>
    <t>Projection levers  (edit these)</t>
  </si>
  <si>
    <t>Baseline statewide growth rate applied to all localities</t>
  </si>
  <si>
    <t>Defaults to the 9-year statewide CAGR. Lower to ~3.5% for a conservative case.</t>
  </si>
  <si>
    <t>Locality trend weight (0 = flat statewide rate, 1 = full local trend)</t>
  </si>
  <si>
    <t>Damps extreme six-year local growth rates before running them out 20 years.</t>
  </si>
  <si>
    <t>Floor on any locality's growth rate</t>
  </si>
  <si>
    <t>No locality is projected to shrink.</t>
  </si>
  <si>
    <t>Ceiling on any locality's growth rate</t>
  </si>
  <si>
    <t>Caps runaway extrapolation for small, volatile localities.</t>
  </si>
  <si>
    <t>New school sales tax rate (percentage points)</t>
  </si>
  <si>
    <t>The dedicated levy being modelled. Va. Code 58.1-605.1 caps this at 1%.</t>
  </si>
  <si>
    <t>Existing local option rate (basis for scaling)</t>
  </si>
  <si>
    <t>Local Option is a 1% tax, so a new 1% levy on the same base yields ~the same amount.</t>
  </si>
  <si>
    <t>Retail Sales Tax Distributed to Virginia Localities — FY2016 to FY2025</t>
  </si>
  <si>
    <t>Columns C-H are published actuals (blue). The FY2016-FY2025 series at right is modelled: actual statewide totals allocated on each locality's interpolated share. FY2019 and FY2025 reproduce the actuals exactly.</t>
  </si>
  <si>
    <t>Locality</t>
  </si>
  <si>
    <t>Type</t>
  </si>
  <si>
    <t>FY2019 Local Option ($)</t>
  </si>
  <si>
    <t>FY2025 Local Option ($)</t>
  </si>
  <si>
    <t>FY2019 State 1% Ed Share ($)</t>
  </si>
  <si>
    <t>FY2025 State 1% Ed Share ($)</t>
  </si>
  <si>
    <t>FY2019 Total ($)</t>
  </si>
  <si>
    <t>FY2025 Total ($)</t>
  </si>
  <si>
    <t>Local Option CAGR FY19-25</t>
  </si>
  <si>
    <t>Total CAGR FY19-25</t>
  </si>
  <si>
    <t>Accomack County</t>
  </si>
  <si>
    <t>County</t>
  </si>
  <si>
    <t>Albemarle County</t>
  </si>
  <si>
    <t>Alleghany County</t>
  </si>
  <si>
    <t>Amelia County</t>
  </si>
  <si>
    <t>Amherst County</t>
  </si>
  <si>
    <t>Appomattox County</t>
  </si>
  <si>
    <t>Arlington County</t>
  </si>
  <si>
    <t>Augusta County</t>
  </si>
  <si>
    <t>Bath County</t>
  </si>
  <si>
    <t>Bedford County</t>
  </si>
  <si>
    <t>Bland County</t>
  </si>
  <si>
    <t>Botetourt County</t>
  </si>
  <si>
    <t>Brunswick County</t>
  </si>
  <si>
    <t>Buchanan County</t>
  </si>
  <si>
    <t>Buckingham County</t>
  </si>
  <si>
    <t>Campbell County</t>
  </si>
  <si>
    <t>Caroline County</t>
  </si>
  <si>
    <t>Carroll County</t>
  </si>
  <si>
    <t>Charles City County</t>
  </si>
  <si>
    <t>Charlotte County</t>
  </si>
  <si>
    <t>Chesterfield County</t>
  </si>
  <si>
    <t>Clarke County</t>
  </si>
  <si>
    <t>Craig County</t>
  </si>
  <si>
    <t>Culpeper County</t>
  </si>
  <si>
    <t>Cumberland County</t>
  </si>
  <si>
    <t>Dickenson County</t>
  </si>
  <si>
    <t>Dinwiddie County</t>
  </si>
  <si>
    <t>Essex County</t>
  </si>
  <si>
    <t>Fairfax County</t>
  </si>
  <si>
    <t>Fauquier County</t>
  </si>
  <si>
    <t>Floyd County</t>
  </si>
  <si>
    <t>Fluvanna County</t>
  </si>
  <si>
    <t>Franklin County</t>
  </si>
  <si>
    <t>Frederick County</t>
  </si>
  <si>
    <t>Giles County</t>
  </si>
  <si>
    <t>Gloucester County</t>
  </si>
  <si>
    <t>Goochland County</t>
  </si>
  <si>
    <t>Grayson County</t>
  </si>
  <si>
    <t>Greene County</t>
  </si>
  <si>
    <t>Greensville County</t>
  </si>
  <si>
    <t>Halifax County</t>
  </si>
  <si>
    <t>Hanover County</t>
  </si>
  <si>
    <t>Henrico County</t>
  </si>
  <si>
    <t>Henry County</t>
  </si>
  <si>
    <t>Highland County</t>
  </si>
  <si>
    <t>Isle of Wight County</t>
  </si>
  <si>
    <t>James City County</t>
  </si>
  <si>
    <t>King George County</t>
  </si>
  <si>
    <t>King William County</t>
  </si>
  <si>
    <t>King and Queen County</t>
  </si>
  <si>
    <t>Lancaster County</t>
  </si>
  <si>
    <t>Lee County</t>
  </si>
  <si>
    <t>Loudoun County</t>
  </si>
  <si>
    <t>Louisa County</t>
  </si>
  <si>
    <t>Lunenburg County</t>
  </si>
  <si>
    <t>Madison County</t>
  </si>
  <si>
    <t>Mathews County</t>
  </si>
  <si>
    <t>Mecklenburg County</t>
  </si>
  <si>
    <t>Middlesex County</t>
  </si>
  <si>
    <t>Montgomery County</t>
  </si>
  <si>
    <t>Nelson County</t>
  </si>
  <si>
    <t>New Kent County</t>
  </si>
  <si>
    <t>Northampton County</t>
  </si>
  <si>
    <t>Northumberland County</t>
  </si>
  <si>
    <t>Nottoway County</t>
  </si>
  <si>
    <t>Orange County</t>
  </si>
  <si>
    <t>Page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</si>
  <si>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</si>
  <si>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</si>
  <si>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</si>
  <si>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</si>
  <si>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</si>
  <si>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</si>
  <si>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Pulaski County</t>
  </si>
  <si>
    <t>Rappahannock County</t>
  </si>
  <si>
    <t>Richmond County</t>
  </si>
  <si>
    <t>Roanoke County</t>
  </si>
  <si>
    <t>Rockbridge County</t>
  </si>
  <si>
    <t>Rockingham County</t>
  </si>
  <si>
    <t>Russell County</t>
  </si>
  <si>
    <t>Scott County</t>
  </si>
  <si>
    <t>Shenandoah County</t>
  </si>
  <si>
    <t>Smyth County</t>
  </si>
  <si>
    <t>Southampton County</t>
  </si>
  <si>
    <t>Spotsylvania County</t>
  </si>
  <si>
    <t>Stafford County</t>
  </si>
  <si>
    <t>Surry County</t>
  </si>
  <si>
    <t>Sussex County</t>
  </si>
  <si>
    <t>Tazewell County</t>
  </si>
  <si>
    <t>Warren County</t>
  </si>
  <si>
    <t>Washington County</t>
  </si>
  <si>
    <t>Westmoreland County</t>
  </si>
  <si>
    <t>Wise County</t>
  </si>
  <si>
    <t>Wythe County</t>
  </si>
  <si>
    <t>York County</t>
  </si>
  <si>
    <t>Alexandria City</t>
  </si>
  <si>
    <t>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</si>
  <si>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</si>
  <si>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</si>
  <si>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</si>
  <si>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</si>
  <si>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</si>
  <si>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</si>
  <si>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</si>
  <si>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</si>
  <si>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</si>
  <si>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</si>
  <si>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</si>
  <si>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</si>
  <si>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</si>
  <si>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</si>
  <si>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</si>
  <si>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</si>
  <si>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</si>
  <si>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</si>
  <si>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</si>
  <si>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</si>
  <si>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</si>
  <si>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</si>
  <si>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</si>
  <si>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</si>
  <si>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</si>
  <si>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</si>
  <si>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</si>
  <si>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</si>
  <si>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</si>
  <si>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</si>
  <si>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</si>
  <si>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</si>
  <si>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</si>
  <si>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</si>
  <si>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</si>
  <si>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</si>
  <si>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</si>
  <si>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TOTAL — all localities</t>
  </si>
  <si>
    <t>Projected Retail Sales Tax Distribution by Locality — FY2026 to FY2045</t>
  </si>
  <si>
    <t>Total of both streams (state 1% education share + 1% local option), nominal dollars. Growth rate per locality is built from the Assumptions tab — change the levers there, not here.</t>
  </si>
  <si>
    <t>FY2025 Total ($) — actual</t>
  </si>
  <si>
    <t>Applied annual growth rate</t>
  </si>
  <si>
    <t>Dedicated 1% Sales Tax for Schools — Locality Profile</t>
  </si>
  <si>
    <t>Main columns model a NEW 1% local sales tax for schools (Va. Code 58.1-605.1), estimated at the same yield as the existing 1% Local Option because it shares the base and the point-of-sale distribution.</t>
  </si>
  <si>
    <t>Final column shows the other reading of the request: setting aside 1% OF projected sales tax revenue. Read the caveats on the Read Me tab before circulating any of these numbers.</t>
  </si>
  <si>
    <t>FY2025 Local Option 1% collected ($) — actual</t>
  </si>
  <si>
    <t>Est. FY2027 yield of new 1% school levy ($)</t>
  </si>
  <si>
    <t>Est. FY2035 yield ($)</t>
  </si>
  <si>
    <t>Est. FY2045 yield ($)</t>
  </si>
  <si>
    <t>20-year cumulative FY2026-FY2045 ($)</t>
  </si>
  <si>
    <t>Average per year over 20 yrs ($)</t>
  </si>
  <si>
    <t>Share of statewide school-levy pot</t>
  </si>
  <si>
    <t>ALT READING: 1% of FY2026 projected total distribution ($)</t>
  </si>
  <si>
    <t>How to read this tab for one locality: column E is roughly what the first full year of a new 1% school levy would</t>
  </si>
  <si>
    <t>raise there; column H is what it would raise across the whole 20-year window; column I is the level annual figure a</t>
  </si>
  <si>
    <t>bond-capacity conversation would start from. Column K is the far smaller 'set aside 1% of revenue' reading.</t>
  </si>
  <si>
    <t>Assumption: the school levy has the same tax base as the existing local option. Check current statute — some</t>
  </si>
  <si>
    <t>formulations exempt food and essential personal hygiene products, which would reduce these figures materially.</t>
  </si>
  <si>
    <t>A new levy requires enabling authority and, in Virginia, a local referendum. These are revenue estimates only.</t>
  </si>
  <si>
    <t>Opportunity Model — Controls</t>
  </si>
  <si>
    <t>Everything on the Opportunity Model tab is driven from here. Yellow cells are yours to change.</t>
  </si>
  <si>
    <t>Access multipliers by status</t>
  </si>
  <si>
    <t>Status</t>
  </si>
  <si>
    <t>Multiplier</t>
  </si>
  <si>
    <t>What it means</t>
  </si>
  <si>
    <t>On Nov 2026 ballot</t>
  </si>
  <si>
    <t>Referendum filed for the Nov 3, 2026 ballot. Funding decision imminent; procurement follows in 2027.</t>
  </si>
  <si>
    <t>Deferred, eyeing 2027</t>
  </si>
  <si>
    <t>Publicly discussed and deferred, generally to a 2027 referendum. Known intent, longer cycle.</t>
  </si>
  <si>
    <t>No public action found</t>
  </si>
  <si>
    <t>Nothing found in reporting. UNVERIFIED, not confirmed inactive — many of these have almost certainly filed.</t>
  </si>
  <si>
    <t>Levying since 2020-23</t>
  </si>
  <si>
    <t>Levying since 2020-23 under the original nine-locality authority. Capital programme already underway.</t>
  </si>
  <si>
    <t>Model levers</t>
  </si>
  <si>
    <t>Treat already-levying localities as exhausted?</t>
  </si>
  <si>
    <t>Yes</t>
  </si>
  <si>
    <t>Yes or No. Your original question said "if previous opportunities have not been exhausted" — Yes reflects that.</t>
  </si>
  <si>
    <t xml:space="preserve">  ...if Yes, multiplier applied to them</t>
  </si>
  <si>
    <t>0 would remove them from contention entirely; 1 would treat prior adoption as no disadvantage.</t>
  </si>
  <si>
    <t>Capacity compression exponent</t>
  </si>
  <si>
    <t>1.00 = raw dollars, so Fairfax swamps everything. Lower values pull mid-size localities into view. 0.38 is the default.</t>
  </si>
  <si>
    <t>Minimum FY2027 yield to shortlist ($)</t>
  </si>
  <si>
    <t>Used by the Shortlist flag. Below this, a standalone performance contract is unlikely to pencil.</t>
  </si>
  <si>
    <t>Scope: Counties, Cities, or Both</t>
  </si>
  <si>
    <t>Counties</t>
  </si>
  <si>
    <t>Controls which rows are ranked and which feed the Region Summary. Type one of the three words exactly.</t>
  </si>
  <si>
    <t>Where the status flags came from</t>
  </si>
  <si>
    <t>Levying since 2020-23 — Virginia Tax FY2025 Annual Report, Table 4.1 note 15. Eight localities. Solid.</t>
  </si>
  <si>
    <t>On Nov 2026 ballot / Deferred — only the localities named individually in reporting through 10 Aug 2026.</t>
  </si>
  <si>
    <t>That is 16 confirmed of the 40+ that had filed as of 7 Aug. The rest sit in 'No public action found'.</t>
  </si>
  <si>
    <t>The 2026-28 state budget opened Va. Code 58.1-605.1 to every county and city, effective 1 July 2026.</t>
  </si>
  <si>
    <t>Filing deadline for the 3 Nov 2026 ballot was 14 Aug 2026 — the authoritative list settles after that.</t>
  </si>
  <si>
    <t>ACTION: pull the Department of Elections referendum filings and update the Status column. Everything recalculates.</t>
  </si>
  <si>
    <t>What this model does not know</t>
  </si>
  <si>
    <t>This ranks FUNDING CAPACITY, not facility need. It carries no building age, no deferred-maintenance</t>
  </si>
  <si>
    <t>backlog, no existing ESCO contracts and no current energy spend — the things that decide whether a</t>
  </si>
  <si>
    <t>performance contract actually pencils. Layer in VDOE's school building needs and conditions survey and</t>
  </si>
  <si>
    <t>the list of divisions already under state energy performance contracts before this drives a call plan.</t>
  </si>
  <si>
    <t>Performance Contracting Opportunity — Virginia Localities</t>
  </si>
  <si>
    <t>Heat = opportunity score: 20-year capacity of a 1% school levy, discounted by how far the locality has already used the option. Edit the Status column as referendum filings are confirmed.</t>
  </si>
  <si>
    <t>Colour bands are septiles of the localities currently IN SCOPE, so the ramp always spans the full set — a red row is top-seventh of what's ranked, not an absolute threshold.</t>
  </si>
  <si>
    <t>Region</t>
  </si>
  <si>
    <t>Status  (edit me)</t>
  </si>
  <si>
    <t>In scope</t>
  </si>
  <si>
    <t>FY2027 levy yield ($)</t>
  </si>
  <si>
    <t>20-yr capacity ($)</t>
  </si>
  <si>
    <t>Capacity index</t>
  </si>
  <si>
    <t>Access multiplier</t>
  </si>
  <si>
    <t>Opportunity score</t>
  </si>
  <si>
    <t>Rank</t>
  </si>
  <si>
    <t>Septile</t>
  </si>
  <si>
    <t>Priority</t>
  </si>
  <si>
    <t>Shortlist</t>
  </si>
  <si>
    <t>Score (numeric helper)</t>
  </si>
  <si>
    <t>Eastern Shore</t>
  </si>
  <si>
    <t>Central Piedmont</t>
  </si>
  <si>
    <t>Shenandoah Valley &amp; Alleghany</t>
  </si>
  <si>
    <t>Richmond Metro</t>
  </si>
  <si>
    <t>Southside</t>
  </si>
  <si>
    <t>Northern Virginia</t>
  </si>
  <si>
    <t>Southwest &amp; New River</t>
  </si>
  <si>
    <t>Tri-Cities &amp; Southside East</t>
  </si>
  <si>
    <t>Northern Neck &amp; Middle Peninsula</t>
  </si>
  <si>
    <t>Hampton Roads</t>
  </si>
  <si>
    <t>Sort by Rank ascending (or Opportunity score descending) to see the board in order — the filter is on row 5.</t>
  </si>
  <si>
    <t>Rows greyed to near-white are out of scope. Rows in grey italic are already levying.</t>
  </si>
  <si>
    <t>Opportunity by Region</t>
  </si>
  <si>
    <t>Counts respect the Scope setting on the Opportunity Controls tab.</t>
  </si>
  <si>
    <t>20-yr capacity in scope ($)</t>
  </si>
  <si>
    <t>FY2027 yield in scope ($)</t>
  </si>
  <si>
    <t>Avg score</t>
  </si>
  <si>
    <t>Best score</t>
  </si>
  <si>
    <t>TOTAL</t>
  </si>
  <si>
    <t>Ballot / Deferred counts reflect only what has been individually confirmed in reporting — see the Opportunity Controls tab.</t>
  </si>
  <si>
    <t>School Facility Needs by VDOE Superintendent's Region</t>
  </si>
  <si>
    <t>Source: VDOE, Needs and Conditions of Virginia School Buildings, June 2021, prepared for the Commission on School Construction and Modernization. All values are region-level; VDOE holds the division detail.</t>
  </si>
  <si>
    <t>The lean score at right is derived, not published: it contrasts enrollment trajectory against building age and recent renovation activity. Positive leans toward new construction, negative toward retrofit.</t>
  </si>
  <si>
    <t>VDOE Region</t>
  </si>
  <si>
    <t>5-yr enrollment change to 2026</t>
  </si>
  <si>
    <t>Median building age (yrs)</t>
  </si>
  <si>
    <t>% buildings renovated since 2015</t>
  </si>
  <si>
    <t>% ADA compliant</t>
  </si>
  <si>
    <t>New schools in division CIPs</t>
  </si>
  <si>
    <t>$ new schools in CIPs</t>
  </si>
  <si>
    <t>Renovation projects in CIPs</t>
  </si>
  <si>
    <t>$ renovations in CIPs</t>
  </si>
  <si>
    <t>HVAC projects in CIPs</t>
  </si>
  <si>
    <t>$ HVAC in CIPs</t>
  </si>
  <si>
    <t>Roof projects in CIPs</t>
  </si>
  <si>
    <t>$ roof in CIPs</t>
  </si>
  <si>
    <t>New-build index</t>
  </si>
  <si>
    <t>Retrofit index</t>
  </si>
  <si>
    <t>LEAN  (+ new build / - retrofit)</t>
  </si>
  <si>
    <t>1 Central Virginia</t>
  </si>
  <si>
    <t>2 Tidewater</t>
  </si>
  <si>
    <t>3 Northern Neck</t>
  </si>
  <si>
    <t>4 Northern Virginia</t>
  </si>
  <si>
    <t>5 Valley</t>
  </si>
  <si>
    <t>6 Western Virginia</t>
  </si>
  <si>
    <t>7 Southwest</t>
  </si>
  <si>
    <t>8 Southside</t>
  </si>
  <si>
    <t>How to read the lean</t>
  </si>
  <si>
    <t>New-build index scales enrollment change across the eight regions: 100 = fastest growing, 0 = fastest shrinking.</t>
  </si>
  <si>
    <t>Retrofit index is half median building age and half the inverse of renovation activity since 2015 — old stock that</t>
  </si>
  <si>
    <t>nobody has touched scores highest. Both run 0-100, so the lean runs -100 to +100.</t>
  </si>
  <si>
    <t>Corroboration: Region 4 plans 31 new schools worth $2.15B. Region 6 plans none, and 59 renovations. Region 7 plans</t>
  </si>
  <si>
    <t>two new schools and 72 HVAC projects. The published CIPs point the same way the derived lean does.</t>
  </si>
  <si>
    <t>Locality Play — Levy Capacity against Facility Need</t>
  </si>
  <si>
    <t>Joins each locality's 1% levy capacity to its VDOE region's facility-need profile, and assigns a play. Region attributes are regional averages applied to every locality in that region — directional, not diagnostic.</t>
  </si>
  <si>
    <t>Region assignment is our own mapping and should be verified against VDOE's official region map before use.</t>
  </si>
  <si>
    <t>Referendum status</t>
  </si>
  <si>
    <t>20-yr levy capacity ($)</t>
  </si>
  <si>
    <t>Region enrollment trend</t>
  </si>
  <si>
    <t>Region median bldg age</t>
  </si>
  <si>
    <t>Region lean</t>
  </si>
  <si>
    <t>Capital self-sufficiency</t>
  </si>
  <si>
    <t>Recommended play</t>
  </si>
  <si>
    <t>Primary funding stack</t>
  </si>
  <si>
    <t>Scope-share factor</t>
  </si>
  <si>
    <t>Timing factor</t>
  </si>
  <si>
    <t>Seller score</t>
  </si>
  <si>
    <t>Seller priority</t>
  </si>
  <si>
    <t>Call wave</t>
  </si>
  <si>
    <t>Opening move</t>
  </si>
  <si>
    <t>Account owner</t>
  </si>
  <si>
    <t>Notes</t>
  </si>
  <si>
    <t>Seller prioritisation controls</t>
  </si>
  <si>
    <t>Scope-share factor — Retrofit plays (our scope is most of the project)</t>
  </si>
  <si>
    <t>Scope-share factor — Blended / selective</t>
  </si>
  <si>
    <t>Scope-share factor — New build / PPEA (we are a subcontractor unless we lead the P3)</t>
  </si>
  <si>
    <t>Timing factor — On Nov 2026 ballot</t>
  </si>
  <si>
    <t>Timing factor — Status unverified</t>
  </si>
  <si>
    <t>Timing factor — Already levying</t>
  </si>
  <si>
    <t>Timing factor — Deferred to 2027</t>
  </si>
  <si>
    <t>Seller score = levy capacity (compressed) x scope-share factor x timing factor. Priority tiers are quartiles of</t>
  </si>
  <si>
    <t>whatever is in scope. Change a factor and the whole board re-ranks. Owner and Notes are yours to fill in.</t>
  </si>
  <si>
    <t>Scope share is the point: a big new-build county can be worth less to us than a mid-size modernisation county,</t>
  </si>
  <si>
    <t>because in the new build we are a line item and in the modernisation we are the project.</t>
  </si>
  <si>
    <t>Virginia School Capital Funding Mechanisms — and how they combine</t>
  </si>
  <si>
    <t>Every source a Virginia division can bring to a capital project, and what each one does for our proposition.</t>
  </si>
  <si>
    <t>Mechanism</t>
  </si>
  <si>
    <t>What it is</t>
  </si>
  <si>
    <t>Scale / terms</t>
  </si>
  <si>
    <t>How it stacks with the 1% levy</t>
  </si>
  <si>
    <t>What it means for us</t>
  </si>
  <si>
    <t>1% local sales tax (§58.1-605.1)</t>
  </si>
  <si>
    <t>Dedicated local sales tax for school construction, renovation, major maintenance and related debt service. Expires 2046.</t>
  </si>
  <si>
    <t>Up to 1 percentage point. Referendum required. $2.05B/yr statewide if universally adopted.</t>
  </si>
  <si>
    <t>The anchor. Predictable 20-year stream that can service debt or availability payments.</t>
  </si>
  <si>
    <t>Removes the savings-only ceiling on ESPC scope. Makes non-energy scope fundable.</t>
  </si>
  <si>
    <t>School Construction Assistance Program (SCAP)</t>
  </si>
  <si>
    <t>Competitive state grants for new construction, additions, flexible-space buildouts and major modernisation.</t>
  </si>
  <si>
    <t>$365M awarded 2023; $250M FY2025; $110M FY2026; $80M+$30M FY2026 round. Awards at 10%, 20% or 30% of construction cost.</t>
  </si>
  <si>
    <t>Direct grant, reduces the amount the levy has to carry. Scored on building condition, need and commitment.</t>
  </si>
  <si>
    <t>The 10/20/30 tier turns on composite index and fiscal stress — poorer divisions get 30%. Application support is a service we can offer.</t>
  </si>
  <si>
    <t>Literary Fund loans</t>
  </si>
  <si>
    <t>Revolving low-interest state loan fund administered by the Board of Education, for construction and renovation.</t>
  </si>
  <si>
    <t>$7.5M per project cap; $20M outstanding per division; 2%-6% interest by composite index. First Priority Waiting List.</t>
  </si>
  <si>
    <t>Cheap subordinated debt beneath levy-backed senior obligations.</t>
  </si>
  <si>
    <t>Caps mean it suits single-building projects, not programmes. Useful for the small division entry project.</t>
  </si>
  <si>
    <t>VPSA pooled bond programme</t>
  </si>
  <si>
    <t>State authority buys local school obligations and issues its own bonds, giving localities sub-market rates.</t>
  </si>
  <si>
    <t>Offered each spring and autumn. Used by roughly 49% of divisions.</t>
  </si>
  <si>
    <t>Principal route to convert levy revenue into up-front construction capital.</t>
  </si>
  <si>
    <t>Understand the pooled bond calendar. It sets when a division can actually award.</t>
  </si>
  <si>
    <t>Local general obligation bonds</t>
  </si>
  <si>
    <t>Issued by the locality on behalf of the division. Counties require voter approval.</t>
  </si>
  <si>
    <t>Most common route — about 53% of divisions. 32% say their locality rarely issues debt.</t>
  </si>
  <si>
    <t>Levy revenue improves debt capacity and referendum politics.</t>
  </si>
  <si>
    <t>That 32% is the target: divisions with need but no appetite for GO debt are where alternative delivery wins.</t>
  </si>
  <si>
    <t>EDA / IDA subject-to-appropriation bonds</t>
  </si>
  <si>
    <t>Authority borrows, builds, and leases the school to the division; annual appropriations cover lease payments.</t>
  </si>
  <si>
    <t>Used by about 10% of divisions.</t>
  </si>
  <si>
    <t>Avoids a bond referendum. Levy proceeds can fund the lease payment.</t>
  </si>
  <si>
    <t>This is the structure closest to an availability-payment P3. Where a PPEA proposal fits most naturally.</t>
  </si>
  <si>
    <t>PPEA (§56-575.1 et seq.)</t>
  </si>
  <si>
    <t>Virginia's P3 statute. Public bodies may partner with private entities to design, build, finance, renovate, equip, maintain or operate a qualifying project.</t>
  </si>
  <si>
    <t>Solicited or unsolicited proposals. Used on 37+ projects statewide. Alternative to design-bid-build and design-build.</t>
  </si>
  <si>
    <t>Levy provides the repayment certainty a long-term availability structure needs.</t>
  </si>
  <si>
    <t>Unsolicited proposals let us originate rather than respond. Agreements require energy-use service levels and hand-back condition — our M&amp;V discipline is the differentiator.</t>
  </si>
  <si>
    <t>Lottery per-pupil non-recurring funds</t>
  </si>
  <si>
    <t>Per-pupil lottery allocation, a set share of which must go to non-recurring costs including construction and renovation.</t>
  </si>
  <si>
    <t>Allocated by ADM, adjusted by composite index, local match required. $200K minimum for small divisions.</t>
  </si>
  <si>
    <t>Small but flexible. Often the source for project development and design fees.</t>
  </si>
  <si>
    <t>Can fund a facility condition assessment or feasibility study before major money is committed.</t>
  </si>
  <si>
    <t>Energy savings performance contract</t>
  </si>
  <si>
    <t>Guaranteed-savings contract; the savings service the debt on the improvements.</t>
  </si>
  <si>
    <t>Scope capped by what energy and operating savings can repay.</t>
  </si>
  <si>
    <t>The complement. Levy funds the scope savings cannot reach; savings fund the scope they can.</t>
  </si>
  <si>
    <t>Our core product. The strategic move is proposing it as one component of a stack, not as a standalone.</t>
  </si>
  <si>
    <t>Terms and award figures are as published through August 2026 and should be re-verified before use in a proposal.</t>
  </si>
  <si>
    <t>Sources and Citations</t>
  </si>
  <si>
    <t>Every figure in this workbook traces to one of these. Reference numbers match the two strategy briefs.</t>
  </si>
  <si>
    <t>Ref</t>
  </si>
  <si>
    <t>Source</t>
  </si>
  <si>
    <t>Publisher / date</t>
  </si>
  <si>
    <t>URL</t>
  </si>
  <si>
    <t>What it supports here</t>
  </si>
  <si>
    <t>S1</t>
  </si>
  <si>
    <t>Annual Report FY2025, Table 4.3 Local Sales Tax Distribution; Table 4.1</t>
  </si>
  <si>
    <t>Virginia Department of Taxation</t>
  </si>
  <si>
    <t>FY2025 locality actuals; statewide Local Option FY2016-FY2025; the eight localities already levying</t>
  </si>
  <si>
    <t>S2</t>
  </si>
  <si>
    <t>Annual Report FY2019, Table 4.3</t>
  </si>
  <si>
    <t>FY2019 locality actuals - the second anchor year for every projection</t>
  </si>
  <si>
    <t>S3</t>
  </si>
  <si>
    <t>1 For Schools Referendum</t>
  </si>
  <si>
    <t>Chesterfield County, VA</t>
  </si>
  <si>
    <t>https://www.chesterfield.gov/1forSchools</t>
  </si>
  <si>
    <t>Chesterfield estimate of $65-70M per year; ballot wording; expiry 22 July 2046</t>
  </si>
  <si>
    <t>S4</t>
  </si>
  <si>
    <t>Voters to Decide on Local Sales Tax Plan, news release</t>
  </si>
  <si>
    <t>https://www.chesterfield.gov/m/newsflash/Home/Detail/7443</t>
  </si>
  <si>
    <t>Nine localities previously authorised, all approved by voters; permitted uses; 2046 expiry</t>
  </si>
  <si>
    <t>S5</t>
  </si>
  <si>
    <t>Virginia communities race to get 1% sales tax for school construction on the ballot</t>
  </si>
  <si>
    <t>Cardinal News, 10 Aug 2026</t>
  </si>
  <si>
    <t>https://cardinalnews.org/2026/08/10/virginia-communities-race-to-get-1-sales-tax-for-school-construction-on-the-ballot/</t>
  </si>
  <si>
    <t>40+ localities filed as of 7 Aug; 14 Aug deadline; Pittsylvania $11.5M since 2023; Henry $28M</t>
  </si>
  <si>
    <t>S6</t>
  </si>
  <si>
    <t>Martinsville adds 1% sales tax referendum for school construction to November's ballot</t>
  </si>
  <si>
    <t>Cardinal News, 15 July 2026</t>
  </si>
  <si>
    <t>https://cardinalnews.org/2026/07/15/martinsville-adds-1-sales-tax-referendum-for-school-construction-to-novembers-ballot/</t>
  </si>
  <si>
    <t>Martinsville on the ballot; law effective 1 July 2026; levy runs to 2046</t>
  </si>
  <si>
    <t>S7</t>
  </si>
  <si>
    <t>1% sales tax increase could fund construction, renovations at dozens of Central Virginia schools</t>
  </si>
  <si>
    <t>WRIC ABC 8News</t>
  </si>
  <si>
    <t>https://www.wric.com/news/local-news/richmond/sales-tax-increase-fund-central-virginia-schools/</t>
  </si>
  <si>
    <t>Central Virginia ballot list; Richmond council vote 27 July; budget adopted 29 June; 14 Aug / 81-day deadline</t>
  </si>
  <si>
    <t>S8</t>
  </si>
  <si>
    <t>If you build it? Localities take different approaches to 1% tax for school construction</t>
  </si>
  <si>
    <t>Fredericksburg Free Press, 29 July 2026</t>
  </si>
  <si>
    <t>http://www.fredericksburgfreepress.com/2026/07/29/if-you-build-it-localities-take-different-approaches-to-1-tax-for-school-construction/</t>
  </si>
  <si>
    <t>Permitted uses incl. related bond and loan financing costs; CANNOT retire existing debt; 20-year term; funds held by the jurisdiction</t>
  </si>
  <si>
    <t>S9</t>
  </si>
  <si>
    <t>Powhatan Supervisors Ask Voters to Consider 1% Sales Tax</t>
  </si>
  <si>
    <t>Powhatan County, VA</t>
  </si>
  <si>
    <t>https://www.powhatanva.gov/m/newsflash/home/detail/395</t>
  </si>
  <si>
    <t>Powhatan referendum; scope of the expanded authority</t>
  </si>
  <si>
    <t>S10</t>
  </si>
  <si>
    <t>Notice of Referendum on General Retail Sales Tax for School Capital Projects</t>
  </si>
  <si>
    <t>Nelson County, VA</t>
  </si>
  <si>
    <t>https://www.nelsoncounty-va.gov/notice-of-referendum-on-general-retail-sales-tax-for-school-capital-projects/</t>
  </si>
  <si>
    <t>Nelson County circuit court order placing the referendum on the 3 Nov 2026 ballot</t>
  </si>
  <si>
    <t>S11</t>
  </si>
  <si>
    <t>Needs and Conditions of Virginia School Buildings, June 2021</t>
  </si>
  <si>
    <t>VDOE, for the Commission on School Construction and Modernization</t>
  </si>
  <si>
    <t>https://studiesvirginiageneralassembly.s3.amazonaws.com/meeting_docs/documents/000/000/979/original/Needs_and_Conditions_of_Virginia_School_Buildings_6.3.21.pdf</t>
  </si>
  <si>
    <t>All region-level condition data: building age, capacity, ADA, CIP project counts and costs, enrolment projections, financing mechanisms</t>
  </si>
  <si>
    <t>S12</t>
  </si>
  <si>
    <t>Yes, most Virginia schools are over 50 years old</t>
  </si>
  <si>
    <t>PolitiFact, 18 Feb 2022</t>
  </si>
  <si>
    <t>https://www.politifact.com/factchecks/2022/feb/18/jennifer-mcclellan/yes-most-virginia-schools-are-over-50-years-old</t>
  </si>
  <si>
    <t>1,040 of 2,005 buildings over 50 years; median age 52; division-level figures for Chesterfield, Hanover, Henrico, Richmond</t>
  </si>
  <si>
    <t>S13</t>
  </si>
  <si>
    <t>School Construction Assistance Program</t>
  </si>
  <si>
    <t>Virginia Department of Education</t>
  </si>
  <si>
    <t>https://www.doe.virginia.gov/programs-services/school-operations-support-services/facility-construction-maintenance/school-construction-assistance-program</t>
  </si>
  <si>
    <t>SCAP eligibility, scoring and application cycle</t>
  </si>
  <si>
    <t>S14</t>
  </si>
  <si>
    <t>School Construction Assistance Program Awards Announced</t>
  </si>
  <si>
    <t>Virginia Association of Counties, 19 May 2023</t>
  </si>
  <si>
    <t>https://www.vaco.org/county-connections/school-construction-assistance-program-awards-announced/</t>
  </si>
  <si>
    <t>$365M across 40 projects in 28 divisions; casino gaming revenue as an ongoing source</t>
  </si>
  <si>
    <t>S15</t>
  </si>
  <si>
    <t>Board of Education Approves More Flexible Guidelines for SCAP</t>
  </si>
  <si>
    <t>Virginia Association of Counties, Oct 2025</t>
  </si>
  <si>
    <t>https://www.vaco.org/county-connections/virginia-board-of-education-approves-more-flexible-guidelines-for-school-construction-assistance-program/</t>
  </si>
  <si>
    <t>$250M FY2025 and $110M FY2026; awards at 10/20/30% by composite index and fiscal stress</t>
  </si>
  <si>
    <t>S16</t>
  </si>
  <si>
    <t>Va. board of ed approves $83.4 million allocation for infrastructure grants</t>
  </si>
  <si>
    <t>Virginia Mercury, 19 June 2025</t>
  </si>
  <si>
    <t>https://virginiamercury.com/2025/06/19/va-board-of-ed-approves-83-4-million-allocation-for-infrastructure-grants/</t>
  </si>
  <si>
    <t>FY2025 round: $80M to 10 divisions; Petersburg funded $13M of a $91M project</t>
  </si>
  <si>
    <t>S17</t>
  </si>
  <si>
    <t>School Board Policy 3-71, PPEA Projects (Va. Code 56-575.1 et seq.)</t>
  </si>
  <si>
    <t>Virginia Beach City Public Schools</t>
  </si>
  <si>
    <t>https://schoolboard.vbschools.com/policies/section-3/3-71</t>
  </si>
  <si>
    <t>PPEA scope; school boards as responsible public entities; unsolicited proposals permitted</t>
  </si>
  <si>
    <t>S18</t>
  </si>
  <si>
    <t>JFAC response on public-private partnerships, 26 Oct 2022</t>
  </si>
  <si>
    <t>Arlington County, VA</t>
  </si>
  <si>
    <t>https://www.arlingtonva.us/files/sharedassets/public/v/1/commissions/documents/jfac/jfac_p3_draft_2022-10-26.pdf</t>
  </si>
  <si>
    <t>37+ PPEA projects statewide; requirement to set energy-use service levels and hand-back condition</t>
  </si>
  <si>
    <t>S19</t>
  </si>
  <si>
    <t>Va. Code 22.1-175.2, Virginia Public School Construction Grants Fund</t>
  </si>
  <si>
    <t>Virginia Law Library</t>
  </si>
  <si>
    <t>https://law.lis.virginia.gov/vacode/title22.1/chapter11.1/section22.1-175.2/</t>
  </si>
  <si>
    <t>Statutory basis and permitted uses for state construction grant funds</t>
  </si>
  <si>
    <t>S20</t>
  </si>
  <si>
    <t>School Building Modernization</t>
  </si>
  <si>
    <t>Virginia PTA</t>
  </si>
  <si>
    <t>https://vapta.org/school-buildings/</t>
  </si>
  <si>
    <t>Virginia funds about 10% of school construction cost against a 22% national average</t>
  </si>
  <si>
    <t>All sources accessed 14 August 2026. Referendum filings were still open on that date; re-verify status before use.</t>
  </si>
  <si>
    <t>Derived values (lean score, opportunity score, seller score, conversion assumptions) are our own analysis, not published figures.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</si>
</sst>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0.0"/>
    <numFmt numFmtId="166" formatCode="0.0%"/>
  </numFmts>
  <fonts count="1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i/>
      <sz val="10"/>
      <color rgb="FF595959"/>
      <name val="Arial"/>
      <charset val="1"/>
    </font>
    <font>
      <b/>
      <sz val="9"/>
      <color rgb="FFFFFFFF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sz val="10"/>
      <color rgb="FF008000"/>
      <name val="Arial"/>
      <charset val="1"/>
    </font>
    <font>
      <b/>
      <sz val="10"/>
      <color rgb="FFC00000"/>
      <name val="Arial"/>
      <charset val="1"/>
    </font>
    <font>
      <i/>
      <sz val="10"/>
      <color rgb="FFC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DF2F9"/>
        <bgColor rgb="FFF2F5F9"/>
      </patternFill>
    </fill>
    <fill>
      <patternFill patternType="solid">
        <fgColor rgb="FFF2F5F9"/>
        <bgColor rgb="FFEDF2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1" fontId="3" fillId="0" borderId="1" xfId="0" applyNumberFormat="1" applyFont="1" applyBorder="1"/>
    <xf numFmtId="164" fontId="6" fillId="0" borderId="1" xfId="0" applyNumberFormat="1" applyFont="1" applyBorder="1"/>
    <xf numFmtId="10" fontId="3" fillId="0" borderId="1" xfId="0" applyNumberFormat="1" applyFont="1" applyBorder="1"/>
    <xf numFmtId="164" fontId="3" fillId="0" borderId="1" xfId="0" applyNumberFormat="1" applyFont="1" applyBorder="1"/>
    <xf numFmtId="10" fontId="3" fillId="0" borderId="0" xfId="0" applyNumberFormat="1" applyFont="1"/>
    <xf numFmtId="10" fontId="6" fillId="3" borderId="1" xfId="0" applyNumberFormat="1" applyFont="1" applyFill="1" applyBorder="1"/>
    <xf numFmtId="2" fontId="6" fillId="3" borderId="1" xfId="0" applyNumberFormat="1" applyFont="1" applyFill="1" applyBorder="1"/>
    <xf numFmtId="1" fontId="5" fillId="2" borderId="0" xfId="0" applyNumberFormat="1" applyFont="1" applyFill="1" applyAlignment="1">
      <alignment horizontal="center" vertical="center"/>
    </xf>
    <xf numFmtId="164" fontId="6" fillId="0" borderId="0" xfId="0" applyNumberFormat="1" applyFont="1"/>
    <xf numFmtId="164" fontId="3" fillId="0" borderId="0" xfId="0" applyNumberFormat="1" applyFont="1"/>
    <xf numFmtId="0" fontId="3" fillId="4" borderId="0" xfId="0" applyFont="1" applyFill="1"/>
    <xf numFmtId="164" fontId="6" fillId="4" borderId="0" xfId="0" applyNumberFormat="1" applyFont="1" applyFill="1"/>
    <xf numFmtId="164" fontId="3" fillId="4" borderId="0" xfId="0" applyNumberFormat="1" applyFont="1" applyFill="1"/>
    <xf numFmtId="10" fontId="3" fillId="4" borderId="0" xfId="0" applyNumberFormat="1" applyFont="1" applyFill="1"/>
    <xf numFmtId="0" fontId="7" fillId="0" borderId="0" xfId="0" applyFont="1"/>
    <xf numFmtId="164" fontId="7" fillId="0" borderId="0" xfId="0" applyNumberFormat="1" applyFont="1"/>
    <xf numFmtId="0" fontId="8" fillId="0" borderId="0" xfId="0" applyFont="1"/>
    <xf numFmtId="164" fontId="8" fillId="0" borderId="0" xfId="0" applyNumberFormat="1" applyFont="1"/>
    <xf numFmtId="0" fontId="8" fillId="4" borderId="0" xfId="0" applyFont="1" applyFill="1"/>
    <xf numFmtId="164" fontId="8" fillId="4" borderId="0" xfId="0" applyNumberFormat="1" applyFont="1" applyFill="1"/>
    <xf numFmtId="10" fontId="8" fillId="0" borderId="0" xfId="0" applyNumberFormat="1" applyFont="1"/>
    <xf numFmtId="10" fontId="8" fillId="4" borderId="0" xfId="0" applyNumberFormat="1" applyFont="1" applyFill="1"/>
    <xf numFmtId="10" fontId="7" fillId="0" borderId="0" xfId="0" applyNumberFormat="1" applyFont="1"/>
    <xf numFmtId="0" fontId="5" fillId="2" borderId="0" xfId="0" applyFont="1" applyFill="1"/>
    <xf numFmtId="2" fontId="3" fillId="0" borderId="1" xfId="0" applyNumberFormat="1" applyFont="1" applyBorder="1"/>
    <xf numFmtId="49" fontId="6" fillId="3" borderId="1" xfId="0" applyNumberFormat="1" applyFont="1" applyFill="1" applyBorder="1"/>
    <xf numFmtId="164" fontId="6" fillId="3" borderId="1" xfId="0" applyNumberFormat="1" applyFont="1" applyFill="1" applyBorder="1"/>
    <xf numFmtId="0" fontId="6" fillId="3" borderId="1" xfId="0" applyFont="1" applyFill="1" applyBorder="1"/>
    <xf numFmtId="165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0" fontId="9" fillId="0" borderId="0" xfId="0" applyFont="1" applyAlignment="1">
      <alignment horizontal="center"/>
    </xf>
    <xf numFmtId="0" fontId="3" fillId="0" borderId="1" xfId="0" applyFont="1" applyBorder="1"/>
    <xf numFmtId="165" fontId="3" fillId="0" borderId="1" xfId="0" applyNumberFormat="1" applyFont="1" applyBorder="1"/>
    <xf numFmtId="1" fontId="7" fillId="0" borderId="0" xfId="0" applyNumberFormat="1" applyFont="1"/>
    <xf numFmtId="166" fontId="6" fillId="0" borderId="1" xfId="0" applyNumberFormat="1" applyFont="1" applyBorder="1"/>
    <xf numFmtId="1" fontId="6" fillId="0" borderId="1" xfId="0" applyNumberFormat="1" applyFont="1" applyBorder="1"/>
    <xf numFmtId="165" fontId="7" fillId="0" borderId="1" xfId="0" applyNumberFormat="1" applyFont="1" applyBorder="1"/>
    <xf numFmtId="0" fontId="10" fillId="0" borderId="0" xfId="0" applyFont="1"/>
    <xf numFmtId="166" fontId="8" fillId="0" borderId="0" xfId="0" applyNumberFormat="1" applyFont="1"/>
    <xf numFmtId="1" fontId="8" fillId="0" borderId="0" xfId="0" applyNumberFormat="1" applyFont="1"/>
    <xf numFmtId="165" fontId="8" fillId="0" borderId="0" xfId="0" applyNumberFormat="1" applyFont="1"/>
    <xf numFmtId="0" fontId="7" fillId="0" borderId="0" xfId="0" applyFont="1" applyAlignment="1">
      <alignment horizontal="center"/>
    </xf>
    <xf numFmtId="0" fontId="0" fillId="3" borderId="1" xfId="0" applyFill="1" applyBorder="1"/>
    <xf numFmtId="0" fontId="8" fillId="5" borderId="0" xfId="0" applyFont="1" applyFill="1"/>
    <xf numFmtId="0" fontId="3" fillId="5" borderId="0" xfId="0" applyFont="1" applyFill="1"/>
    <xf numFmtId="164" fontId="8" fillId="5" borderId="0" xfId="0" applyNumberFormat="1" applyFont="1" applyFill="1"/>
    <xf numFmtId="166" fontId="8" fillId="5" borderId="0" xfId="0" applyNumberFormat="1" applyFont="1" applyFill="1"/>
    <xf numFmtId="1" fontId="8" fillId="5" borderId="0" xfId="0" applyNumberFormat="1" applyFont="1" applyFill="1"/>
    <xf numFmtId="165" fontId="8" fillId="5" borderId="0" xfId="0" applyNumberFormat="1" applyFont="1" applyFill="1"/>
    <xf numFmtId="0" fontId="7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0" borderId="0" xfId="0" applyFont="1" applyAlignment="1"/>
  </cellXfs>
  <cellStyles count="1">
    <cellStyle name="Normal" xfId="0" builtinId="0"/>
  </cellStyles>
  <dxfs count="8">
    <dxf>
      <font>
        <sz val="10"/>
        <color rgb="FFD9D9D9"/>
        <name val="Arial"/>
        <charset val="1"/>
      </font>
    </dxf>
    <dxf>
      <font>
        <b/>
        <sz val="10"/>
        <color rgb="FF222222"/>
        <name val="Arial"/>
        <charset val="1"/>
      </font>
      <fill>
        <patternFill>
          <bgColor rgb="FFEDEDED"/>
        </patternFill>
      </fill>
    </dxf>
    <dxf>
      <font>
        <b/>
        <sz val="10"/>
        <color rgb="FF222222"/>
        <name val="Arial"/>
        <charset val="1"/>
      </font>
      <fill>
        <patternFill>
          <bgColor rgb="FFD6C321"/>
        </patternFill>
      </fill>
    </dxf>
    <dxf>
      <font>
        <b/>
        <sz val="10"/>
        <color rgb="FFFFFFFF"/>
        <name val="Arial"/>
        <charset val="1"/>
      </font>
      <fill>
        <patternFill>
          <bgColor rgb="FFE89A1C"/>
        </patternFill>
      </fill>
    </dxf>
    <dxf>
      <font>
        <b/>
        <sz val="10"/>
        <color rgb="FFFFFFFF"/>
        <name val="Arial"/>
        <charset val="1"/>
      </font>
      <fill>
        <patternFill>
          <bgColor rgb="FFC42B21"/>
        </patternFill>
      </fill>
    </dxf>
    <dxf>
      <font>
        <b/>
        <sz val="10"/>
        <color rgb="FFC00000"/>
        <name val="Arial"/>
        <charset val="1"/>
      </font>
    </dxf>
    <dxf>
      <font>
        <sz val="10"/>
        <color rgb="FFD9D9D9"/>
        <name val="Arial"/>
        <charset val="1"/>
      </font>
    </dxf>
    <dxf>
      <font>
        <i/>
        <sz val="10"/>
        <color rgb="FF9C9C9C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9"/>
      <rgbColor rgb="FFEDF2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D6C321"/>
      <rgbColor rgb="FFE89A1C"/>
      <rgbColor rgb="FFFF6600"/>
      <rgbColor rgb="FF595959"/>
      <rgbColor rgb="FF9C9C9C"/>
      <rgbColor rgb="FF1F3864"/>
      <rgbColor rgb="FF339966"/>
      <rgbColor rgb="FF003300"/>
      <rgbColor rgb="FF333300"/>
      <rgbColor rgb="FFC42B21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76"/>
  <sheetViews>
    <sheetView showGridLines="0" tabSelected="1" zoomScaleNormal="100" workbookViewId="0"/>
  </sheetViews>
  <sheetFormatPr defaultColWidth="8.7109375" defaultRowHeight="15"/>
  <cols>
    <col min="1" max="1" width="3" customWidth="1"/>
    <col min="2" max="2" width="118" customWidth="1"/>
  </cols>
  <sheetData>
    <row r="2" spans="2:2" ht="17.45">
      <c r="B2" s="1" t="s">
        <v>0</v>
      </c>
    </row>
    <row r="5" spans="2:2">
      <c r="B5" s="2" t="s">
        <v>1</v>
      </c>
    </row>
    <row r="6" spans="2:2">
      <c r="B6" s="3" t="s">
        <v>2</v>
      </c>
    </row>
    <row r="7" spans="2:2">
      <c r="B7" s="3" t="s">
        <v>3</v>
      </c>
    </row>
    <row r="8" spans="2:2">
      <c r="B8" s="3" t="s">
        <v>4</v>
      </c>
    </row>
    <row r="9" spans="2:2">
      <c r="B9" s="3" t="s">
        <v>5</v>
      </c>
    </row>
    <row r="11" spans="2:2">
      <c r="B11" s="2" t="s">
        <v>6</v>
      </c>
    </row>
    <row r="12" spans="2:2">
      <c r="B12" s="3" t="s">
        <v>7</v>
      </c>
    </row>
    <row r="13" spans="2:2">
      <c r="B13" s="3" t="s">
        <v>8</v>
      </c>
    </row>
    <row r="14" spans="2:2">
      <c r="B14" s="3" t="s">
        <v>9</v>
      </c>
    </row>
    <row r="15" spans="2:2">
      <c r="B15" s="3" t="s">
        <v>10</v>
      </c>
    </row>
    <row r="16" spans="2:2">
      <c r="B16" s="3" t="s">
        <v>11</v>
      </c>
    </row>
    <row r="18" spans="2:2">
      <c r="B18" s="2" t="s">
        <v>12</v>
      </c>
    </row>
    <row r="19" spans="2:2">
      <c r="B19" s="3" t="s">
        <v>13</v>
      </c>
    </row>
    <row r="20" spans="2:2">
      <c r="B20" s="3" t="s">
        <v>14</v>
      </c>
    </row>
    <row r="21" spans="2:2">
      <c r="B21" s="3" t="s">
        <v>15</v>
      </c>
    </row>
    <row r="22" spans="2:2">
      <c r="B22" s="3" t="s">
        <v>16</v>
      </c>
    </row>
    <row r="24" spans="2:2">
      <c r="B24" s="2" t="s">
        <v>17</v>
      </c>
    </row>
    <row r="25" spans="2:2">
      <c r="B25" s="3" t="s">
        <v>18</v>
      </c>
    </row>
    <row r="26" spans="2:2">
      <c r="B26" s="3" t="s">
        <v>19</v>
      </c>
    </row>
    <row r="27" spans="2:2">
      <c r="B27" s="3" t="s">
        <v>20</v>
      </c>
    </row>
    <row r="28" spans="2:2">
      <c r="B28" s="3" t="s">
        <v>21</v>
      </c>
    </row>
    <row r="29" spans="2:2">
      <c r="B29" s="3" t="s">
        <v>22</v>
      </c>
    </row>
    <row r="30" spans="2:2">
      <c r="B30" s="3" t="s">
        <v>23</v>
      </c>
    </row>
    <row r="32" spans="2:2">
      <c r="B32" s="2" t="s">
        <v>24</v>
      </c>
    </row>
    <row r="33" spans="2:2">
      <c r="B33" s="3" t="s">
        <v>25</v>
      </c>
    </row>
    <row r="34" spans="2:2">
      <c r="B34" s="3" t="s">
        <v>26</v>
      </c>
    </row>
    <row r="35" spans="2:2">
      <c r="B35" s="3" t="s">
        <v>27</v>
      </c>
    </row>
    <row r="36" spans="2:2">
      <c r="B36" s="3" t="s">
        <v>28</v>
      </c>
    </row>
    <row r="37" spans="2:2">
      <c r="B37" s="3" t="s">
        <v>29</v>
      </c>
    </row>
    <row r="39" spans="2:2">
      <c r="B39" s="2" t="s">
        <v>30</v>
      </c>
    </row>
    <row r="40" spans="2:2">
      <c r="B40" s="3" t="s">
        <v>31</v>
      </c>
    </row>
    <row r="41" spans="2:2">
      <c r="B41" s="3" t="s">
        <v>32</v>
      </c>
    </row>
    <row r="42" spans="2:2">
      <c r="B42" s="3" t="s">
        <v>33</v>
      </c>
    </row>
    <row r="43" spans="2:2">
      <c r="B43" s="3" t="s">
        <v>34</v>
      </c>
    </row>
    <row r="44" spans="2:2">
      <c r="B44" s="3" t="s">
        <v>35</v>
      </c>
    </row>
    <row r="45" spans="2:2">
      <c r="B45" s="3" t="s">
        <v>36</v>
      </c>
    </row>
    <row r="46" spans="2:2">
      <c r="B46" s="3" t="s">
        <v>37</v>
      </c>
    </row>
    <row r="47" spans="2:2">
      <c r="B47" s="3" t="s">
        <v>38</v>
      </c>
    </row>
    <row r="49" spans="2:2">
      <c r="B49" s="2" t="s">
        <v>39</v>
      </c>
    </row>
    <row r="50" spans="2:2">
      <c r="B50" s="3" t="s">
        <v>40</v>
      </c>
    </row>
    <row r="51" spans="2:2">
      <c r="B51" s="3" t="s">
        <v>41</v>
      </c>
    </row>
    <row r="52" spans="2:2">
      <c r="B52" s="3" t="s">
        <v>42</v>
      </c>
    </row>
    <row r="53" spans="2:2">
      <c r="B53" s="3" t="s">
        <v>43</v>
      </c>
    </row>
    <row r="54" spans="2:2">
      <c r="B54" s="3" t="s">
        <v>44</v>
      </c>
    </row>
    <row r="55" spans="2:2">
      <c r="B55" s="3" t="s">
        <v>45</v>
      </c>
    </row>
    <row r="56" spans="2:2">
      <c r="B56" s="3" t="s">
        <v>46</v>
      </c>
    </row>
    <row r="58" spans="2:2">
      <c r="B58" s="4" t="s">
        <v>47</v>
      </c>
    </row>
    <row r="70" spans="2:2">
      <c r="B70" s="4"/>
    </row>
    <row r="71" spans="2:2">
      <c r="B71" s="2" t="s">
        <v>48</v>
      </c>
    </row>
    <row r="72" spans="2:2">
      <c r="B72" s="4" t="s">
        <v>49</v>
      </c>
    </row>
    <row r="73" spans="2:2">
      <c r="B73" s="4" t="s">
        <v>50</v>
      </c>
    </row>
    <row r="74" spans="2:2">
      <c r="B74" s="4" t="s">
        <v>51</v>
      </c>
    </row>
    <row r="75" spans="2:2">
      <c r="B75" s="4" t="s">
        <v>52</v>
      </c>
    </row>
    <row r="76" spans="2:2">
      <c r="B76" s="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showGridLines="0" zoomScaleNormal="100" workbookViewId="0"/>
  </sheetViews>
  <sheetFormatPr defaultColWidth="8.7109375" defaultRowHeight="15"/>
  <cols>
    <col min="1" max="1" width="58" customWidth="1"/>
    <col min="2" max="6" width="22" customWidth="1"/>
  </cols>
  <sheetData>
    <row r="1" spans="1:5" ht="17.45">
      <c r="A1" s="1" t="s">
        <v>54</v>
      </c>
    </row>
    <row r="2" spans="1:5">
      <c r="A2" s="4" t="s">
        <v>55</v>
      </c>
    </row>
    <row r="4" spans="1:5" ht="33.75" customHeight="1">
      <c r="A4" s="5" t="s">
        <v>56</v>
      </c>
      <c r="B4" s="5" t="s">
        <v>57</v>
      </c>
      <c r="C4" s="5" t="s">
        <v>58</v>
      </c>
      <c r="D4" s="5" t="s">
        <v>59</v>
      </c>
      <c r="E4" s="5" t="s">
        <v>60</v>
      </c>
    </row>
    <row r="5" spans="1:5">
      <c r="A5" s="6">
        <v>2016</v>
      </c>
      <c r="B5" s="7">
        <v>1188704000</v>
      </c>
      <c r="C5" s="8">
        <f>$C$8</f>
        <v>0.99807159089854303</v>
      </c>
      <c r="D5" s="9">
        <f>B5*C5</f>
        <v>1186411692.3874617</v>
      </c>
      <c r="E5" s="9">
        <f>B5+D5</f>
        <v>2375115692.3874617</v>
      </c>
    </row>
    <row r="6" spans="1:5">
      <c r="A6" s="6">
        <v>2017</v>
      </c>
      <c r="B6" s="7">
        <v>1213929000</v>
      </c>
      <c r="C6" s="8">
        <f>$C$8</f>
        <v>0.99807159089854303</v>
      </c>
      <c r="D6" s="9">
        <f>B6*C6</f>
        <v>1211588048.2678773</v>
      </c>
      <c r="E6" s="9">
        <f>B6+D6</f>
        <v>2425517048.2678776</v>
      </c>
    </row>
    <row r="7" spans="1:5">
      <c r="A7" s="6">
        <v>2018</v>
      </c>
      <c r="B7" s="7">
        <v>1243480000</v>
      </c>
      <c r="C7" s="8">
        <f>$C$8</f>
        <v>0.99807159089854303</v>
      </c>
      <c r="D7" s="9">
        <f>B7*C7</f>
        <v>1241082061.8505204</v>
      </c>
      <c r="E7" s="9">
        <f>B7+D7</f>
        <v>2484562061.8505201</v>
      </c>
    </row>
    <row r="8" spans="1:5">
      <c r="A8" s="6">
        <v>2019</v>
      </c>
      <c r="B8" s="7">
        <v>1292804000</v>
      </c>
      <c r="C8" s="8">
        <f>D8/B8</f>
        <v>0.99807159089854303</v>
      </c>
      <c r="D8" s="7">
        <v>1290310945</v>
      </c>
      <c r="E8" s="9">
        <f>B8+D8</f>
        <v>2583114945</v>
      </c>
    </row>
    <row r="9" spans="1:5">
      <c r="A9" s="6">
        <v>2020</v>
      </c>
      <c r="B9" s="7">
        <v>1358988000</v>
      </c>
      <c r="C9" s="8">
        <f>$C$8</f>
        <v>0.99807159089854303</v>
      </c>
      <c r="D9" s="9">
        <f>B9*C9</f>
        <v>1356367315.1720293</v>
      </c>
      <c r="E9" s="9">
        <f>B9+D9</f>
        <v>2715355315.1720295</v>
      </c>
    </row>
    <row r="10" spans="1:5">
      <c r="A10" s="6">
        <v>2021</v>
      </c>
      <c r="B10" s="7">
        <v>1477201000</v>
      </c>
      <c r="C10" s="8">
        <f>$C$8</f>
        <v>0.99807159089854303</v>
      </c>
      <c r="D10" s="9">
        <f>B10*C10</f>
        <v>1474352352.1469188</v>
      </c>
      <c r="E10" s="9">
        <f>B10+D10</f>
        <v>2951553352.1469188</v>
      </c>
    </row>
    <row r="11" spans="1:5">
      <c r="A11" s="6">
        <v>2022</v>
      </c>
      <c r="B11" s="7">
        <v>1662897000</v>
      </c>
      <c r="C11" s="8">
        <f>$C$8</f>
        <v>0.99807159089854303</v>
      </c>
      <c r="D11" s="9">
        <f>B11*C11</f>
        <v>1659690254.2904146</v>
      </c>
      <c r="E11" s="9">
        <f>B11+D11</f>
        <v>3322587254.2904148</v>
      </c>
    </row>
    <row r="12" spans="1:5">
      <c r="A12" s="6">
        <v>2023</v>
      </c>
      <c r="B12" s="7">
        <v>1770842000</v>
      </c>
      <c r="C12" s="8">
        <f>$C$8+($C$14-$C$8)*(A12-2022)/3</f>
        <v>0.94318165657763819</v>
      </c>
      <c r="D12" s="9">
        <f>B12*C12</f>
        <v>1670225691.0972581</v>
      </c>
      <c r="E12" s="9">
        <f>B12+D12</f>
        <v>3441067691.0972581</v>
      </c>
    </row>
    <row r="13" spans="1:5">
      <c r="A13" s="6">
        <v>2024</v>
      </c>
      <c r="B13" s="7">
        <v>1808583000</v>
      </c>
      <c r="C13" s="8">
        <f>$C$8+($C$14-$C$8)*(A13-2022)/3</f>
        <v>0.88829172225673347</v>
      </c>
      <c r="D13" s="9">
        <f>B13*C13</f>
        <v>1606549307.9142499</v>
      </c>
      <c r="E13" s="9">
        <f>B13+D13</f>
        <v>3415132307.9142499</v>
      </c>
    </row>
    <row r="14" spans="1:5">
      <c r="A14" s="6">
        <v>2025</v>
      </c>
      <c r="B14" s="7">
        <v>1876913000</v>
      </c>
      <c r="C14" s="8">
        <f>D14/B14</f>
        <v>0.83340178793582864</v>
      </c>
      <c r="D14" s="7">
        <v>1564222650</v>
      </c>
      <c r="E14" s="9">
        <f>B14+D14</f>
        <v>3441135650</v>
      </c>
    </row>
    <row r="15" spans="1:5">
      <c r="A15" s="4" t="s">
        <v>61</v>
      </c>
    </row>
    <row r="16" spans="1:5">
      <c r="A16" s="4" t="s">
        <v>62</v>
      </c>
    </row>
    <row r="17" spans="1:3">
      <c r="A17" s="4" t="s">
        <v>63</v>
      </c>
    </row>
    <row r="18" spans="1:3">
      <c r="A18" s="2" t="s">
        <v>64</v>
      </c>
    </row>
    <row r="19" spans="1:3">
      <c r="A19" s="3" t="s">
        <v>65</v>
      </c>
      <c r="B19" s="10">
        <f>(B14/B5)^(1/9)-1</f>
        <v>5.2061571751274238E-2</v>
      </c>
    </row>
    <row r="20" spans="1:3">
      <c r="A20" s="3" t="s">
        <v>66</v>
      </c>
      <c r="B20" s="10">
        <f>(B14/B8)^(1/6)-1</f>
        <v>6.4106858915974785E-2</v>
      </c>
    </row>
    <row r="21" spans="1:3">
      <c r="A21" s="3" t="s">
        <v>67</v>
      </c>
      <c r="B21" s="10">
        <f>(E14/E8)^(1/6)-1</f>
        <v>4.8961809669823886E-2</v>
      </c>
    </row>
    <row r="23" spans="1:3">
      <c r="A23" s="2" t="s">
        <v>68</v>
      </c>
    </row>
    <row r="24" spans="1:3">
      <c r="A24" s="3" t="s">
        <v>69</v>
      </c>
      <c r="B24" s="11">
        <f>B19</f>
        <v>5.2061571751274238E-2</v>
      </c>
      <c r="C24" s="4" t="s">
        <v>70</v>
      </c>
    </row>
    <row r="25" spans="1:3">
      <c r="A25" s="3" t="s">
        <v>71</v>
      </c>
      <c r="B25" s="12">
        <v>0.5</v>
      </c>
      <c r="C25" s="4" t="s">
        <v>72</v>
      </c>
    </row>
    <row r="26" spans="1:3">
      <c r="A26" s="3" t="s">
        <v>73</v>
      </c>
      <c r="B26" s="11">
        <v>0</v>
      </c>
      <c r="C26" s="4" t="s">
        <v>74</v>
      </c>
    </row>
    <row r="27" spans="1:3">
      <c r="A27" s="3" t="s">
        <v>75</v>
      </c>
      <c r="B27" s="11">
        <v>0.08</v>
      </c>
      <c r="C27" s="4" t="s">
        <v>76</v>
      </c>
    </row>
    <row r="28" spans="1:3">
      <c r="A28" s="3" t="s">
        <v>77</v>
      </c>
      <c r="B28" s="11">
        <v>0.01</v>
      </c>
      <c r="C28" s="4" t="s">
        <v>78</v>
      </c>
    </row>
    <row r="29" spans="1:3">
      <c r="A29" s="3" t="s">
        <v>79</v>
      </c>
      <c r="B29" s="11">
        <v>0.01</v>
      </c>
      <c r="C29" s="4" t="s">
        <v>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38"/>
  <sheetViews>
    <sheetView showGridLines="0"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24" customWidth="1"/>
    <col min="2" max="2" width="9" customWidth="1"/>
    <col min="3" max="20" width="16" customWidth="1"/>
  </cols>
  <sheetData>
    <row r="1" spans="1:20" ht="17.45">
      <c r="A1" s="1" t="s">
        <v>81</v>
      </c>
    </row>
    <row r="2" spans="1:20">
      <c r="A2" s="4" t="s">
        <v>82</v>
      </c>
    </row>
    <row r="4" spans="1:20" ht="39.75" customHeight="1">
      <c r="A4" s="5" t="s">
        <v>83</v>
      </c>
      <c r="B4" s="5" t="s">
        <v>84</v>
      </c>
      <c r="C4" s="5" t="s">
        <v>85</v>
      </c>
      <c r="D4" s="5" t="s">
        <v>86</v>
      </c>
      <c r="E4" s="5" t="s">
        <v>87</v>
      </c>
      <c r="F4" s="5" t="s">
        <v>88</v>
      </c>
      <c r="G4" s="5" t="s">
        <v>89</v>
      </c>
      <c r="H4" s="5" t="s">
        <v>90</v>
      </c>
      <c r="I4" s="5" t="s">
        <v>91</v>
      </c>
      <c r="J4" s="5" t="s">
        <v>92</v>
      </c>
      <c r="K4" s="13">
        <v>2016</v>
      </c>
      <c r="L4" s="13">
        <v>2017</v>
      </c>
      <c r="M4" s="13">
        <v>2018</v>
      </c>
      <c r="N4" s="13">
        <v>2019</v>
      </c>
      <c r="O4" s="13">
        <v>2020</v>
      </c>
      <c r="P4" s="13">
        <v>2021</v>
      </c>
      <c r="Q4" s="13">
        <v>2022</v>
      </c>
      <c r="R4" s="13">
        <v>2023</v>
      </c>
      <c r="S4" s="13">
        <v>2024</v>
      </c>
      <c r="T4" s="13">
        <v>2025</v>
      </c>
    </row>
    <row r="5" spans="1:20">
      <c r="A5" s="3" t="s">
        <v>93</v>
      </c>
      <c r="B5" s="3" t="s">
        <v>94</v>
      </c>
      <c r="C5" s="14">
        <v>4721028</v>
      </c>
      <c r="D5" s="14">
        <v>6374893</v>
      </c>
      <c r="E5" s="14">
        <v>4678123</v>
      </c>
      <c r="F5" s="14">
        <v>5447703</v>
      </c>
      <c r="G5" s="15">
        <f>C5+E5</f>
        <v>9399151</v>
      </c>
      <c r="H5" s="15">
        <f>D5+F5</f>
        <v>11822596</v>
      </c>
      <c r="I5" s="10">
        <f>IFERROR((D5/C5)^(1/6)-1,0)</f>
        <v>5.1330798722428739E-2</v>
      </c>
      <c r="J5" s="10">
        <f>IFERROR((H5/G5)^(1/6)-1,0)</f>
        <v>3.8972462858250623E-2</v>
      </c>
      <c r="K5" s="15">
        <f>($G5/Assumptions!$E$8+($H5/Assumptions!$E$14-$G5/Assumptions!$E$8)*(K$4-2019)/6)*INDEX(Assumptions!$E$5:$E$14,MATCH(K$4,Assumptions!$A$5:$A$14,0))</f>
        <v>8883406.4889482763</v>
      </c>
      <c r="L5" s="15">
        <f>($G5/Assumptions!$E$8+($H5/Assumptions!$E$14-$G5/Assumptions!$E$8)*(L$4-2019)/6)*INDEX(Assumptions!$E$5:$E$14,MATCH(L$4,Assumptions!$A$5:$A$14,0))</f>
        <v>8989845.5174462181</v>
      </c>
      <c r="M5" s="15">
        <f>($G5/Assumptions!$E$8+($H5/Assumptions!$E$14-$G5/Assumptions!$E$8)*(M$4-2019)/6)*INDEX(Assumptions!$E$5:$E$14,MATCH(M$4,Assumptions!$A$5:$A$14,0))</f>
        <v>9124617.7437953241</v>
      </c>
      <c r="N5" s="15">
        <f>($G5/Assumptions!$E$8+($H5/Assumptions!$E$14-$G5/Assumptions!$E$8)*(N$4-2019)/6)*INDEX(Assumptions!$E$5:$E$14,MATCH(N$4,Assumptions!$A$5:$A$14,0))</f>
        <v>9399151</v>
      </c>
      <c r="O5" s="15">
        <f>($G5/Assumptions!$E$8+($H5/Assumptions!$E$14-$G5/Assumptions!$E$8)*(O$4-2019)/6)*INDEX(Assumptions!$E$5:$E$14,MATCH(O$4,Assumptions!$A$5:$A$14,0))</f>
        <v>9788453.1929078773</v>
      </c>
      <c r="P5" s="15">
        <f>($G5/Assumptions!$E$8+($H5/Assumptions!$E$14-$G5/Assumptions!$E$8)*(P$4-2019)/6)*INDEX(Assumptions!$E$5:$E$14,MATCH(P$4,Assumptions!$A$5:$A$14,0))</f>
        <v>10540040.524914544</v>
      </c>
      <c r="Q5" s="15">
        <f>($G5/Assumptions!$E$8+($H5/Assumptions!$E$14-$G5/Assumptions!$E$8)*(Q$4-2019)/6)*INDEX(Assumptions!$E$5:$E$14,MATCH(Q$4,Assumptions!$A$5:$A$14,0))</f>
        <v>11752581.842661066</v>
      </c>
      <c r="R5" s="15">
        <f>($G5/Assumptions!$E$8+($H5/Assumptions!$E$14-$G5/Assumptions!$E$8)*(R$4-2019)/6)*INDEX(Assumptions!$E$5:$E$14,MATCH(R$4,Assumptions!$A$5:$A$14,0))</f>
        <v>12055232.980171692</v>
      </c>
      <c r="S5" s="15">
        <f>($G5/Assumptions!$E$8+($H5/Assumptions!$E$14-$G5/Assumptions!$E$8)*(S$4-2019)/6)*INDEX(Assumptions!$E$5:$E$14,MATCH(S$4,Assumptions!$A$5:$A$14,0))</f>
        <v>11848814.835105691</v>
      </c>
      <c r="T5" s="15">
        <f>($G5/Assumptions!$E$8+($H5/Assumptions!$E$14-$G5/Assumptions!$E$8)*(T$4-2019)/6)*INDEX(Assumptions!$E$5:$E$14,MATCH(T$4,Assumptions!$A$5:$A$14,0))</f>
        <v>11822596</v>
      </c>
    </row>
    <row r="6" spans="1:20">
      <c r="A6" s="16" t="s">
        <v>95</v>
      </c>
      <c r="B6" s="16" t="s">
        <v>94</v>
      </c>
      <c r="C6" s="17">
        <v>17038808</v>
      </c>
      <c r="D6" s="17">
        <v>26225183</v>
      </c>
      <c r="E6" s="17">
        <v>15252442</v>
      </c>
      <c r="F6" s="17">
        <v>19212745</v>
      </c>
      <c r="G6" s="18">
        <f>C6+E6</f>
        <v>32291250</v>
      </c>
      <c r="H6" s="18">
        <f>D6+F6</f>
        <v>45437928</v>
      </c>
      <c r="I6" s="19">
        <f>IFERROR((D6/C6)^(1/6)-1,0)</f>
        <v>7.4516823905412144E-2</v>
      </c>
      <c r="J6" s="19">
        <f>IFERROR((H6/G6)^(1/6)-1,0)</f>
        <v>5.8576569283629976E-2</v>
      </c>
      <c r="K6" s="18">
        <f>($G6/Assumptions!$E$8+($H6/Assumptions!$E$14-$G6/Assumptions!$E$8)*(K$4-2019)/6)*INDEX(Assumptions!$E$5:$E$14,MATCH(K$4,Assumptions!$A$5:$A$14,0))</f>
        <v>28855691.048935961</v>
      </c>
      <c r="L6" s="18">
        <f>($G6/Assumptions!$E$8+($H6/Assumptions!$E$14-$G6/Assumptions!$E$8)*(L$4-2019)/6)*INDEX(Assumptions!$E$5:$E$14,MATCH(L$4,Assumptions!$A$5:$A$14,0))</f>
        <v>29752395.608896099</v>
      </c>
      <c r="M6" s="18">
        <f>($G6/Assumptions!$E$8+($H6/Assumptions!$E$14-$G6/Assumptions!$E$8)*(M$4-2019)/6)*INDEX(Assumptions!$E$5:$E$14,MATCH(M$4,Assumptions!$A$5:$A$14,0))</f>
        <v>30767958.440031197</v>
      </c>
      <c r="N6" s="18">
        <f>($G6/Assumptions!$E$8+($H6/Assumptions!$E$14-$G6/Assumptions!$E$8)*(N$4-2019)/6)*INDEX(Assumptions!$E$5:$E$14,MATCH(N$4,Assumptions!$A$5:$A$14,0))</f>
        <v>32291250</v>
      </c>
      <c r="O6" s="18">
        <f>($G6/Assumptions!$E$8+($H6/Assumptions!$E$14-$G6/Assumptions!$E$8)*(O$4-2019)/6)*INDEX(Assumptions!$E$5:$E$14,MATCH(O$4,Assumptions!$A$5:$A$14,0))</f>
        <v>34262723.721313894</v>
      </c>
      <c r="P6" s="18">
        <f>($G6/Assumptions!$E$8+($H6/Assumptions!$E$14-$G6/Assumptions!$E$8)*(P$4-2019)/6)*INDEX(Assumptions!$E$5:$E$14,MATCH(P$4,Assumptions!$A$5:$A$14,0))</f>
        <v>37589145.507991903</v>
      </c>
      <c r="Q6" s="18">
        <f>($G6/Assumptions!$E$8+($H6/Assumptions!$E$14-$G6/Assumptions!$E$8)*(Q$4-2019)/6)*INDEX(Assumptions!$E$5:$E$14,MATCH(Q$4,Assumptions!$A$5:$A$14,0))</f>
        <v>42703945.321441449</v>
      </c>
      <c r="R6" s="18">
        <f>($G6/Assumptions!$E$8+($H6/Assumptions!$E$14-$G6/Assumptions!$E$8)*(R$4-2019)/6)*INDEX(Assumptions!$E$5:$E$14,MATCH(R$4,Assumptions!$A$5:$A$14,0))</f>
        <v>44630162.97351642</v>
      </c>
      <c r="S6" s="18">
        <f>($G6/Assumptions!$E$8+($H6/Assumptions!$E$14-$G6/Assumptions!$E$8)*(S$4-2019)/6)*INDEX(Assumptions!$E$5:$E$14,MATCH(S$4,Assumptions!$A$5:$A$14,0))</f>
        <v>44694177.85852512</v>
      </c>
      <c r="T6" s="18">
        <f>($G6/Assumptions!$E$8+($H6/Assumptions!$E$14-$G6/Assumptions!$E$8)*(T$4-2019)/6)*INDEX(Assumptions!$E$5:$E$14,MATCH(T$4,Assumptions!$A$5:$A$14,0))</f>
        <v>45437928</v>
      </c>
    </row>
    <row r="7" spans="1:20">
      <c r="A7" s="3" t="s">
        <v>96</v>
      </c>
      <c r="B7" s="3" t="s">
        <v>94</v>
      </c>
      <c r="C7" s="14">
        <v>958820</v>
      </c>
      <c r="D7" s="14">
        <v>1288843</v>
      </c>
      <c r="E7" s="14">
        <v>2224841</v>
      </c>
      <c r="F7" s="14">
        <v>2315274</v>
      </c>
      <c r="G7" s="15">
        <f>C7+E7</f>
        <v>3183661</v>
      </c>
      <c r="H7" s="15">
        <f>D7+F7</f>
        <v>3604117</v>
      </c>
      <c r="I7" s="10">
        <f>IFERROR((D7/C7)^(1/6)-1,0)</f>
        <v>5.053490976451358E-2</v>
      </c>
      <c r="J7" s="10">
        <f>IFERROR((H7/G7)^(1/6)-1,0)</f>
        <v>2.0889359474493885E-2</v>
      </c>
      <c r="K7" s="15">
        <f>($G7/Assumptions!$E$8+($H7/Assumptions!$E$14-$G7/Assumptions!$E$8)*(K$4-2019)/6)*INDEX(Assumptions!$E$5:$E$14,MATCH(K$4,Assumptions!$A$5:$A$14,0))</f>
        <v>3147152.5352803213</v>
      </c>
      <c r="L7" s="15">
        <f>($G7/Assumptions!$E$8+($H7/Assumptions!$E$14-$G7/Assumptions!$E$8)*(L$4-2019)/6)*INDEX(Assumptions!$E$5:$E$14,MATCH(L$4,Assumptions!$A$5:$A$14,0))</f>
        <v>3139099.0825305991</v>
      </c>
      <c r="M7" s="15">
        <f>($G7/Assumptions!$E$8+($H7/Assumptions!$E$14-$G7/Assumptions!$E$8)*(M$4-2019)/6)*INDEX(Assumptions!$E$5:$E$14,MATCH(M$4,Assumptions!$A$5:$A$14,0))</f>
        <v>3138855.3308412721</v>
      </c>
      <c r="N7" s="15">
        <f>($G7/Assumptions!$E$8+($H7/Assumptions!$E$14-$G7/Assumptions!$E$8)*(N$4-2019)/6)*INDEX(Assumptions!$E$5:$E$14,MATCH(N$4,Assumptions!$A$5:$A$14,0))</f>
        <v>3183661.0000000005</v>
      </c>
      <c r="O7" s="15">
        <f>($G7/Assumptions!$E$8+($H7/Assumptions!$E$14-$G7/Assumptions!$E$8)*(O$4-2019)/6)*INDEX(Assumptions!$E$5:$E$14,MATCH(O$4,Assumptions!$A$5:$A$14,0))</f>
        <v>3262865.1409882782</v>
      </c>
      <c r="P7" s="15">
        <f>($G7/Assumptions!$E$8+($H7/Assumptions!$E$14-$G7/Assumptions!$E$8)*(P$4-2019)/6)*INDEX(Assumptions!$E$5:$E$14,MATCH(P$4,Assumptions!$A$5:$A$14,0))</f>
        <v>3455620.4727437864</v>
      </c>
      <c r="Q7" s="15">
        <f>($G7/Assumptions!$E$8+($H7/Assumptions!$E$14-$G7/Assumptions!$E$8)*(Q$4-2019)/6)*INDEX(Assumptions!$E$5:$E$14,MATCH(Q$4,Assumptions!$A$5:$A$14,0))</f>
        <v>3787503.196762016</v>
      </c>
      <c r="R7" s="15">
        <f>($G7/Assumptions!$E$8+($H7/Assumptions!$E$14-$G7/Assumptions!$E$8)*(R$4-2019)/6)*INDEX(Assumptions!$E$5:$E$14,MATCH(R$4,Assumptions!$A$5:$A$14,0))</f>
        <v>3816390.0160250221</v>
      </c>
      <c r="S7" s="15">
        <f>($G7/Assumptions!$E$8+($H7/Assumptions!$E$14-$G7/Assumptions!$E$8)*(S$4-2019)/6)*INDEX(Assumptions!$E$5:$E$14,MATCH(S$4,Assumptions!$A$5:$A$14,0))</f>
        <v>3682253.9463717891</v>
      </c>
      <c r="T7" s="15">
        <f>($G7/Assumptions!$E$8+($H7/Assumptions!$E$14-$G7/Assumptions!$E$8)*(T$4-2019)/6)*INDEX(Assumptions!$E$5:$E$14,MATCH(T$4,Assumptions!$A$5:$A$14,0))</f>
        <v>3604117</v>
      </c>
    </row>
    <row r="8" spans="1:20">
      <c r="A8" s="16" t="s">
        <v>97</v>
      </c>
      <c r="B8" s="16" t="s">
        <v>94</v>
      </c>
      <c r="C8" s="17">
        <v>821928</v>
      </c>
      <c r="D8" s="17">
        <v>1519698</v>
      </c>
      <c r="E8" s="17">
        <v>1893604</v>
      </c>
      <c r="F8" s="17">
        <v>2174286</v>
      </c>
      <c r="G8" s="18">
        <f>C8+E8</f>
        <v>2715532</v>
      </c>
      <c r="H8" s="18">
        <f>D8+F8</f>
        <v>3693984</v>
      </c>
      <c r="I8" s="19">
        <f>IFERROR((D8/C8)^(1/6)-1,0)</f>
        <v>0.10786604719710513</v>
      </c>
      <c r="J8" s="19">
        <f>IFERROR((H8/G8)^(1/6)-1,0)</f>
        <v>5.2624193266103347E-2</v>
      </c>
      <c r="K8" s="18">
        <f>($G8/Assumptions!$E$8+($H8/Assumptions!$E$14-$G8/Assumptions!$E$8)*(K$4-2019)/6)*INDEX(Assumptions!$E$5:$E$14,MATCH(K$4,Assumptions!$A$5:$A$14,0))</f>
        <v>2470487.840033425</v>
      </c>
      <c r="L8" s="18">
        <f>($G8/Assumptions!$E$8+($H8/Assumptions!$E$14-$G8/Assumptions!$E$8)*(L$4-2019)/6)*INDEX(Assumptions!$E$5:$E$14,MATCH(L$4,Assumptions!$A$5:$A$14,0))</f>
        <v>2531893.7772435336</v>
      </c>
      <c r="M8" s="18">
        <f>($G8/Assumptions!$E$8+($H8/Assumptions!$E$14-$G8/Assumptions!$E$8)*(M$4-2019)/6)*INDEX(Assumptions!$E$5:$E$14,MATCH(M$4,Assumptions!$A$5:$A$14,0))</f>
        <v>2602727.6965209618</v>
      </c>
      <c r="N8" s="18">
        <f>($G8/Assumptions!$E$8+($H8/Assumptions!$E$14-$G8/Assumptions!$E$8)*(N$4-2019)/6)*INDEX(Assumptions!$E$5:$E$14,MATCH(N$4,Assumptions!$A$5:$A$14,0))</f>
        <v>2715532</v>
      </c>
      <c r="O8" s="18">
        <f>($G8/Assumptions!$E$8+($H8/Assumptions!$E$14-$G8/Assumptions!$E$8)*(O$4-2019)/6)*INDEX(Assumptions!$E$5:$E$14,MATCH(O$4,Assumptions!$A$5:$A$14,0))</f>
        <v>2864605.2328627855</v>
      </c>
      <c r="P8" s="18">
        <f>($G8/Assumptions!$E$8+($H8/Assumptions!$E$14-$G8/Assumptions!$E$8)*(P$4-2019)/6)*INDEX(Assumptions!$E$5:$E$14,MATCH(P$4,Assumptions!$A$5:$A$14,0))</f>
        <v>3124714.3628530693</v>
      </c>
      <c r="Q8" s="18">
        <f>($G8/Assumptions!$E$8+($H8/Assumptions!$E$14-$G8/Assumptions!$E$8)*(Q$4-2019)/6)*INDEX(Assumptions!$E$5:$E$14,MATCH(Q$4,Assumptions!$A$5:$A$14,0))</f>
        <v>3529818.2147470708</v>
      </c>
      <c r="R8" s="18">
        <f>($G8/Assumptions!$E$8+($H8/Assumptions!$E$14-$G8/Assumptions!$E$8)*(R$4-2019)/6)*INDEX(Assumptions!$E$5:$E$14,MATCH(R$4,Assumptions!$A$5:$A$14,0))</f>
        <v>3668429.2285027173</v>
      </c>
      <c r="S8" s="18">
        <f>($G8/Assumptions!$E$8+($H8/Assumptions!$E$14-$G8/Assumptions!$E$8)*(S$4-2019)/6)*INDEX(Assumptions!$E$5:$E$14,MATCH(S$4,Assumptions!$A$5:$A$14,0))</f>
        <v>3653425.0988192819</v>
      </c>
      <c r="T8" s="18">
        <f>($G8/Assumptions!$E$8+($H8/Assumptions!$E$14-$G8/Assumptions!$E$8)*(T$4-2019)/6)*INDEX(Assumptions!$E$5:$E$14,MATCH(T$4,Assumptions!$A$5:$A$14,0))</f>
        <v>3693984</v>
      </c>
    </row>
    <row r="9" spans="1:20">
      <c r="A9" s="3" t="s">
        <v>98</v>
      </c>
      <c r="B9" s="3" t="s">
        <v>94</v>
      </c>
      <c r="C9" s="14">
        <v>2895601</v>
      </c>
      <c r="D9" s="14">
        <v>4726734</v>
      </c>
      <c r="E9" s="14">
        <v>4519031</v>
      </c>
      <c r="F9" s="14">
        <v>5146545</v>
      </c>
      <c r="G9" s="15">
        <f>C9+E9</f>
        <v>7414632</v>
      </c>
      <c r="H9" s="15">
        <f>D9+F9</f>
        <v>9873279</v>
      </c>
      <c r="I9" s="10">
        <f>IFERROR((D9/C9)^(1/6)-1,0)</f>
        <v>8.5101609041362547E-2</v>
      </c>
      <c r="J9" s="10">
        <f>IFERROR((H9/G9)^(1/6)-1,0)</f>
        <v>4.8886835684357921E-2</v>
      </c>
      <c r="K9" s="15">
        <f>($G9/Assumptions!$E$8+($H9/Assumptions!$E$14-$G9/Assumptions!$E$8)*(K$4-2019)/6)*INDEX(Assumptions!$E$5:$E$14,MATCH(K$4,Assumptions!$A$5:$A$14,0))</f>
        <v>6819047.7944052862</v>
      </c>
      <c r="L9" s="15">
        <f>($G9/Assumptions!$E$8+($H9/Assumptions!$E$14-$G9/Assumptions!$E$8)*(L$4-2019)/6)*INDEX(Assumptions!$E$5:$E$14,MATCH(L$4,Assumptions!$A$5:$A$14,0))</f>
        <v>6963254.4757403964</v>
      </c>
      <c r="M9" s="15">
        <f>($G9/Assumptions!$E$8+($H9/Assumptions!$E$14-$G9/Assumptions!$E$8)*(M$4-2019)/6)*INDEX(Assumptions!$E$5:$E$14,MATCH(M$4,Assumptions!$A$5:$A$14,0))</f>
        <v>7132253.204956634</v>
      </c>
      <c r="N9" s="15">
        <f>($G9/Assumptions!$E$8+($H9/Assumptions!$E$14-$G9/Assumptions!$E$8)*(N$4-2019)/6)*INDEX(Assumptions!$E$5:$E$14,MATCH(N$4,Assumptions!$A$5:$A$14,0))</f>
        <v>7414631.9999999991</v>
      </c>
      <c r="O9" s="15">
        <f>($G9/Assumptions!$E$8+($H9/Assumptions!$E$14-$G9/Assumptions!$E$8)*(O$4-2019)/6)*INDEX(Assumptions!$E$5:$E$14,MATCH(O$4,Assumptions!$A$5:$A$14,0))</f>
        <v>7793660.7839044575</v>
      </c>
      <c r="P9" s="15">
        <f>($G9/Assumptions!$E$8+($H9/Assumptions!$E$14-$G9/Assumptions!$E$8)*(P$4-2019)/6)*INDEX(Assumptions!$E$5:$E$14,MATCH(P$4,Assumptions!$A$5:$A$14,0))</f>
        <v>8470995.123123385</v>
      </c>
      <c r="Q9" s="15">
        <f>($G9/Assumptions!$E$8+($H9/Assumptions!$E$14-$G9/Assumptions!$E$8)*(Q$4-2019)/6)*INDEX(Assumptions!$E$5:$E$14,MATCH(Q$4,Assumptions!$A$5:$A$14,0))</f>
        <v>9535185.5271384846</v>
      </c>
      <c r="R9" s="15">
        <f>($G9/Assumptions!$E$8+($H9/Assumptions!$E$14-$G9/Assumptions!$E$8)*(R$4-2019)/6)*INDEX(Assumptions!$E$5:$E$14,MATCH(R$4,Assumptions!$A$5:$A$14,0))</f>
        <v>9874495.712808406</v>
      </c>
      <c r="S9" s="15">
        <f>($G9/Assumptions!$E$8+($H9/Assumptions!$E$14-$G9/Assumptions!$E$8)*(S$4-2019)/6)*INDEX(Assumptions!$E$5:$E$14,MATCH(S$4,Assumptions!$A$5:$A$14,0))</f>
        <v>9799370.9479642957</v>
      </c>
      <c r="T9" s="15">
        <f>($G9/Assumptions!$E$8+($H9/Assumptions!$E$14-$G9/Assumptions!$E$8)*(T$4-2019)/6)*INDEX(Assumptions!$E$5:$E$14,MATCH(T$4,Assumptions!$A$5:$A$14,0))</f>
        <v>9873279</v>
      </c>
    </row>
    <row r="10" spans="1:20">
      <c r="A10" s="16" t="s">
        <v>99</v>
      </c>
      <c r="B10" s="16" t="s">
        <v>94</v>
      </c>
      <c r="C10" s="17">
        <v>1385301</v>
      </c>
      <c r="D10" s="17">
        <v>2192135</v>
      </c>
      <c r="E10" s="17">
        <v>2330903</v>
      </c>
      <c r="F10" s="17">
        <v>2958832</v>
      </c>
      <c r="G10" s="18">
        <f>C10+E10</f>
        <v>3716204</v>
      </c>
      <c r="H10" s="18">
        <f>D10+F10</f>
        <v>5150967</v>
      </c>
      <c r="I10" s="19">
        <f>IFERROR((D10/C10)^(1/6)-1,0)</f>
        <v>7.9494725647399456E-2</v>
      </c>
      <c r="J10" s="19">
        <f>IFERROR((H10/G10)^(1/6)-1,0)</f>
        <v>5.5921266721861596E-2</v>
      </c>
      <c r="K10" s="18">
        <f>($G10/Assumptions!$E$8+($H10/Assumptions!$E$14-$G10/Assumptions!$E$8)*(K$4-2019)/6)*INDEX(Assumptions!$E$5:$E$14,MATCH(K$4,Assumptions!$A$5:$A$14,0))</f>
        <v>3347816.5829268708</v>
      </c>
      <c r="L10" s="18">
        <f>($G10/Assumptions!$E$8+($H10/Assumptions!$E$14-$G10/Assumptions!$E$8)*(L$4-2019)/6)*INDEX(Assumptions!$E$5:$E$14,MATCH(L$4,Assumptions!$A$5:$A$14,0))</f>
        <v>3442397.9633005708</v>
      </c>
      <c r="M10" s="18">
        <f>($G10/Assumptions!$E$8+($H10/Assumptions!$E$14-$G10/Assumptions!$E$8)*(M$4-2019)/6)*INDEX(Assumptions!$E$5:$E$14,MATCH(M$4,Assumptions!$A$5:$A$14,0))</f>
        <v>3550308.930079475</v>
      </c>
      <c r="N10" s="18">
        <f>($G10/Assumptions!$E$8+($H10/Assumptions!$E$14-$G10/Assumptions!$E$8)*(N$4-2019)/6)*INDEX(Assumptions!$E$5:$E$14,MATCH(N$4,Assumptions!$A$5:$A$14,0))</f>
        <v>3716204</v>
      </c>
      <c r="O10" s="18">
        <f>($G10/Assumptions!$E$8+($H10/Assumptions!$E$14-$G10/Assumptions!$E$8)*(O$4-2019)/6)*INDEX(Assumptions!$E$5:$E$14,MATCH(O$4,Assumptions!$A$5:$A$14,0))</f>
        <v>3932803.4096614951</v>
      </c>
      <c r="P10" s="18">
        <f>($G10/Assumptions!$E$8+($H10/Assumptions!$E$14-$G10/Assumptions!$E$8)*(P$4-2019)/6)*INDEX(Assumptions!$E$5:$E$14,MATCH(P$4,Assumptions!$A$5:$A$14,0))</f>
        <v>4303546.1730615282</v>
      </c>
      <c r="Q10" s="18">
        <f>($G10/Assumptions!$E$8+($H10/Assumptions!$E$14-$G10/Assumptions!$E$8)*(Q$4-2019)/6)*INDEX(Assumptions!$E$5:$E$14,MATCH(Q$4,Assumptions!$A$5:$A$14,0))</f>
        <v>4876780.8735027602</v>
      </c>
      <c r="R10" s="18">
        <f>($G10/Assumptions!$E$8+($H10/Assumptions!$E$14-$G10/Assumptions!$E$8)*(R$4-2019)/6)*INDEX(Assumptions!$E$5:$E$14,MATCH(R$4,Assumptions!$A$5:$A$14,0))</f>
        <v>5084076.7178450665</v>
      </c>
      <c r="S10" s="18">
        <f>($G10/Assumptions!$E$8+($H10/Assumptions!$E$14-$G10/Assumptions!$E$8)*(S$4-2019)/6)*INDEX(Assumptions!$E$5:$E$14,MATCH(S$4,Assumptions!$A$5:$A$14,0))</f>
        <v>5078900.5335929114</v>
      </c>
      <c r="T10" s="18">
        <f>($G10/Assumptions!$E$8+($H10/Assumptions!$E$14-$G10/Assumptions!$E$8)*(T$4-2019)/6)*INDEX(Assumptions!$E$5:$E$14,MATCH(T$4,Assumptions!$A$5:$A$14,0))</f>
        <v>5150967</v>
      </c>
    </row>
    <row r="11" spans="1:20">
      <c r="A11" s="3" t="s">
        <v>100</v>
      </c>
      <c r="B11" s="3" t="s">
        <v>94</v>
      </c>
      <c r="C11" s="14">
        <v>43737164</v>
      </c>
      <c r="D11" s="14">
        <v>55138617</v>
      </c>
      <c r="E11" s="14">
        <v>25689698</v>
      </c>
      <c r="F11" s="14">
        <v>34138301</v>
      </c>
      <c r="G11" s="15">
        <f>C11+E11</f>
        <v>69426862</v>
      </c>
      <c r="H11" s="15">
        <f>D11+F11</f>
        <v>89276918</v>
      </c>
      <c r="I11" s="10">
        <f>IFERROR((D11/C11)^(1/6)-1,0)</f>
        <v>3.9363692079158019E-2</v>
      </c>
      <c r="J11" s="10">
        <f>IFERROR((H11/G11)^(1/6)-1,0)</f>
        <v>4.2802208274146603E-2</v>
      </c>
      <c r="K11" s="15">
        <f>($G11/Assumptions!$E$8+($H11/Assumptions!$E$14-$G11/Assumptions!$E$8)*(K$4-2019)/6)*INDEX(Assumptions!$E$5:$E$14,MATCH(K$4,Assumptions!$A$5:$A$14,0))</f>
        <v>64944607.5169513</v>
      </c>
      <c r="L11" s="15">
        <f>($G11/Assumptions!$E$8+($H11/Assumptions!$E$14-$G11/Assumptions!$E$8)*(L$4-2019)/6)*INDEX(Assumptions!$E$5:$E$14,MATCH(L$4,Assumptions!$A$5:$A$14,0))</f>
        <v>65945538.244446933</v>
      </c>
      <c r="M11" s="15">
        <f>($G11/Assumptions!$E$8+($H11/Assumptions!$E$14-$G11/Assumptions!$E$8)*(M$4-2019)/6)*INDEX(Assumptions!$E$5:$E$14,MATCH(M$4,Assumptions!$A$5:$A$14,0))</f>
        <v>67164452.997549355</v>
      </c>
      <c r="N11" s="15">
        <f>($G11/Assumptions!$E$8+($H11/Assumptions!$E$14-$G11/Assumptions!$E$8)*(N$4-2019)/6)*INDEX(Assumptions!$E$5:$E$14,MATCH(N$4,Assumptions!$A$5:$A$14,0))</f>
        <v>69426862</v>
      </c>
      <c r="O11" s="15">
        <f>($G11/Assumptions!$E$8+($H11/Assumptions!$E$14-$G11/Assumptions!$E$8)*(O$4-2019)/6)*INDEX(Assumptions!$E$5:$E$14,MATCH(O$4,Assumptions!$A$5:$A$14,0))</f>
        <v>72558801.407924026</v>
      </c>
      <c r="P11" s="15">
        <f>($G11/Assumptions!$E$8+($H11/Assumptions!$E$14-$G11/Assumptions!$E$8)*(P$4-2019)/6)*INDEX(Assumptions!$E$5:$E$14,MATCH(P$4,Assumptions!$A$5:$A$14,0))</f>
        <v>78411360.306862235</v>
      </c>
      <c r="Q11" s="15">
        <f>($G11/Assumptions!$E$8+($H11/Assumptions!$E$14-$G11/Assumptions!$E$8)*(Q$4-2019)/6)*INDEX(Assumptions!$E$5:$E$14,MATCH(Q$4,Assumptions!$A$5:$A$14,0))</f>
        <v>87751546.145605594</v>
      </c>
      <c r="R11" s="15">
        <f>($G11/Assumptions!$E$8+($H11/Assumptions!$E$14-$G11/Assumptions!$E$8)*(R$4-2019)/6)*INDEX(Assumptions!$E$5:$E$14,MATCH(R$4,Assumptions!$A$5:$A$14,0))</f>
        <v>90345509.2224475</v>
      </c>
      <c r="S11" s="15">
        <f>($G11/Assumptions!$E$8+($H11/Assumptions!$E$14-$G11/Assumptions!$E$8)*(S$4-2019)/6)*INDEX(Assumptions!$E$5:$E$14,MATCH(S$4,Assumptions!$A$5:$A$14,0))</f>
        <v>89133430.113311082</v>
      </c>
      <c r="T11" s="15">
        <f>($G11/Assumptions!$E$8+($H11/Assumptions!$E$14-$G11/Assumptions!$E$8)*(T$4-2019)/6)*INDEX(Assumptions!$E$5:$E$14,MATCH(T$4,Assumptions!$A$5:$A$14,0))</f>
        <v>89276918</v>
      </c>
    </row>
    <row r="12" spans="1:20">
      <c r="A12" s="16" t="s">
        <v>101</v>
      </c>
      <c r="B12" s="16" t="s">
        <v>94</v>
      </c>
      <c r="C12" s="17">
        <v>6229458</v>
      </c>
      <c r="D12" s="17">
        <v>9993991</v>
      </c>
      <c r="E12" s="17">
        <v>10569425</v>
      </c>
      <c r="F12" s="17">
        <v>12920072</v>
      </c>
      <c r="G12" s="18">
        <f>C12+E12</f>
        <v>16798883</v>
      </c>
      <c r="H12" s="18">
        <f>D12+F12</f>
        <v>22914063</v>
      </c>
      <c r="I12" s="19">
        <f>IFERROR((D12/C12)^(1/6)-1,0)</f>
        <v>8.1968910838536413E-2</v>
      </c>
      <c r="J12" s="19">
        <f>IFERROR((H12/G12)^(1/6)-1,0)</f>
        <v>5.3101624995715024E-2</v>
      </c>
      <c r="K12" s="18">
        <f>($G12/Assumptions!$E$8+($H12/Assumptions!$E$14-$G12/Assumptions!$E$8)*(K$4-2019)/6)*INDEX(Assumptions!$E$5:$E$14,MATCH(K$4,Assumptions!$A$5:$A$14,0))</f>
        <v>15261499.521130065</v>
      </c>
      <c r="L12" s="18">
        <f>($G12/Assumptions!$E$8+($H12/Assumptions!$E$14-$G12/Assumptions!$E$8)*(L$4-2019)/6)*INDEX(Assumptions!$E$5:$E$14,MATCH(L$4,Assumptions!$A$5:$A$14,0))</f>
        <v>15648228.291894943</v>
      </c>
      <c r="M12" s="18">
        <f>($G12/Assumptions!$E$8+($H12/Assumptions!$E$14-$G12/Assumptions!$E$8)*(M$4-2019)/6)*INDEX(Assumptions!$E$5:$E$14,MATCH(M$4,Assumptions!$A$5:$A$14,0))</f>
        <v>16093558.549040191</v>
      </c>
      <c r="N12" s="18">
        <f>($G12/Assumptions!$E$8+($H12/Assumptions!$E$14-$G12/Assumptions!$E$8)*(N$4-2019)/6)*INDEX(Assumptions!$E$5:$E$14,MATCH(N$4,Assumptions!$A$5:$A$14,0))</f>
        <v>16798883</v>
      </c>
      <c r="O12" s="18">
        <f>($G12/Assumptions!$E$8+($H12/Assumptions!$E$14-$G12/Assumptions!$E$8)*(O$4-2019)/6)*INDEX(Assumptions!$E$5:$E$14,MATCH(O$4,Assumptions!$A$5:$A$14,0))</f>
        <v>17729271.029796645</v>
      </c>
      <c r="P12" s="18">
        <f>($G12/Assumptions!$E$8+($H12/Assumptions!$E$14-$G12/Assumptions!$E$8)*(P$4-2019)/6)*INDEX(Assumptions!$E$5:$E$14,MATCH(P$4,Assumptions!$A$5:$A$14,0))</f>
        <v>19347976.213265374</v>
      </c>
      <c r="Q12" s="18">
        <f>($G12/Assumptions!$E$8+($H12/Assumptions!$E$14-$G12/Assumptions!$E$8)*(Q$4-2019)/6)*INDEX(Assumptions!$E$5:$E$14,MATCH(Q$4,Assumptions!$A$5:$A$14,0))</f>
        <v>21866295.133231264</v>
      </c>
      <c r="R12" s="18">
        <f>($G12/Assumptions!$E$8+($H12/Assumptions!$E$14-$G12/Assumptions!$E$8)*(R$4-2019)/6)*INDEX(Assumptions!$E$5:$E$14,MATCH(R$4,Assumptions!$A$5:$A$14,0))</f>
        <v>22735221.698204704</v>
      </c>
      <c r="S12" s="18">
        <f>($G12/Assumptions!$E$8+($H12/Assumptions!$E$14-$G12/Assumptions!$E$8)*(S$4-2019)/6)*INDEX(Assumptions!$E$5:$E$14,MATCH(S$4,Assumptions!$A$5:$A$14,0))</f>
        <v>22652388.089029111</v>
      </c>
      <c r="T12" s="18">
        <f>($G12/Assumptions!$E$8+($H12/Assumptions!$E$14-$G12/Assumptions!$E$8)*(T$4-2019)/6)*INDEX(Assumptions!$E$5:$E$14,MATCH(T$4,Assumptions!$A$5:$A$14,0))</f>
        <v>22914063</v>
      </c>
    </row>
    <row r="13" spans="1:20">
      <c r="A13" s="3" t="s">
        <v>102</v>
      </c>
      <c r="B13" s="3" t="s">
        <v>94</v>
      </c>
      <c r="C13" s="14">
        <v>822596</v>
      </c>
      <c r="D13" s="14">
        <v>1312575</v>
      </c>
      <c r="E13" s="14">
        <v>528675</v>
      </c>
      <c r="F13" s="14">
        <v>572584</v>
      </c>
      <c r="G13" s="15">
        <f>C13+E13</f>
        <v>1351271</v>
      </c>
      <c r="H13" s="15">
        <f>D13+F13</f>
        <v>1885159</v>
      </c>
      <c r="I13" s="10">
        <f>IFERROR((D13/C13)^(1/6)-1,0)</f>
        <v>8.0993101547379265E-2</v>
      </c>
      <c r="J13" s="10">
        <f>IFERROR((H13/G13)^(1/6)-1,0)</f>
        <v>5.706312154350357E-2</v>
      </c>
      <c r="K13" s="15">
        <f>($G13/Assumptions!$E$8+($H13/Assumptions!$E$14-$G13/Assumptions!$E$8)*(K$4-2019)/6)*INDEX(Assumptions!$E$5:$E$14,MATCH(K$4,Assumptions!$A$5:$A$14,0))</f>
        <v>1213114.2369323131</v>
      </c>
      <c r="L13" s="15">
        <f>($G13/Assumptions!$E$8+($H13/Assumptions!$E$14-$G13/Assumptions!$E$8)*(L$4-2019)/6)*INDEX(Assumptions!$E$5:$E$14,MATCH(L$4,Assumptions!$A$5:$A$14,0))</f>
        <v>1248847.784985275</v>
      </c>
      <c r="M13" s="15">
        <f>($G13/Assumptions!$E$8+($H13/Assumptions!$E$14-$G13/Assumptions!$E$8)*(M$4-2019)/6)*INDEX(Assumptions!$E$5:$E$14,MATCH(M$4,Assumptions!$A$5:$A$14,0))</f>
        <v>1289482.573389624</v>
      </c>
      <c r="N13" s="15">
        <f>($G13/Assumptions!$E$8+($H13/Assumptions!$E$14-$G13/Assumptions!$E$8)*(N$4-2019)/6)*INDEX(Assumptions!$E$5:$E$14,MATCH(N$4,Assumptions!$A$5:$A$14,0))</f>
        <v>1351270.9999999998</v>
      </c>
      <c r="O13" s="15">
        <f>($G13/Assumptions!$E$8+($H13/Assumptions!$E$14-$G13/Assumptions!$E$8)*(O$4-2019)/6)*INDEX(Assumptions!$E$5:$E$14,MATCH(O$4,Assumptions!$A$5:$A$14,0))</f>
        <v>1431632.5418548521</v>
      </c>
      <c r="P13" s="15">
        <f>($G13/Assumptions!$E$8+($H13/Assumptions!$E$14-$G13/Assumptions!$E$8)*(P$4-2019)/6)*INDEX(Assumptions!$E$5:$E$14,MATCH(P$4,Assumptions!$A$5:$A$14,0))</f>
        <v>1568321.8617723715</v>
      </c>
      <c r="Q13" s="15">
        <f>($G13/Assumptions!$E$8+($H13/Assumptions!$E$14-$G13/Assumptions!$E$8)*(Q$4-2019)/6)*INDEX(Assumptions!$E$5:$E$14,MATCH(Q$4,Assumptions!$A$5:$A$14,0))</f>
        <v>1779158.0068950118</v>
      </c>
      <c r="R13" s="15">
        <f>($G13/Assumptions!$E$8+($H13/Assumptions!$E$14-$G13/Assumptions!$E$8)*(R$4-2019)/6)*INDEX(Assumptions!$E$5:$E$14,MATCH(R$4,Assumptions!$A$5:$A$14,0))</f>
        <v>1856774.6978697006</v>
      </c>
      <c r="S13" s="15">
        <f>($G13/Assumptions!$E$8+($H13/Assumptions!$E$14-$G13/Assumptions!$E$8)*(S$4-2019)/6)*INDEX(Assumptions!$E$5:$E$14,MATCH(S$4,Assumptions!$A$5:$A$14,0))</f>
        <v>1856846.8666710805</v>
      </c>
      <c r="T13" s="15">
        <f>($G13/Assumptions!$E$8+($H13/Assumptions!$E$14-$G13/Assumptions!$E$8)*(T$4-2019)/6)*INDEX(Assumptions!$E$5:$E$14,MATCH(T$4,Assumptions!$A$5:$A$14,0))</f>
        <v>1885159</v>
      </c>
    </row>
    <row r="14" spans="1:20">
      <c r="A14" s="16" t="s">
        <v>103</v>
      </c>
      <c r="B14" s="16" t="s">
        <v>94</v>
      </c>
      <c r="C14" s="17">
        <v>6395201</v>
      </c>
      <c r="D14" s="17">
        <v>10883951</v>
      </c>
      <c r="E14" s="17">
        <v>11604747</v>
      </c>
      <c r="F14" s="17">
        <v>13413051</v>
      </c>
      <c r="G14" s="18">
        <f>C14+E14</f>
        <v>17999948</v>
      </c>
      <c r="H14" s="18">
        <f>D14+F14</f>
        <v>24297002</v>
      </c>
      <c r="I14" s="19">
        <f>IFERROR((D14/C14)^(1/6)-1,0)</f>
        <v>9.2669271519030927E-2</v>
      </c>
      <c r="J14" s="19">
        <f>IFERROR((H14/G14)^(1/6)-1,0)</f>
        <v>5.1268310379296134E-2</v>
      </c>
      <c r="K14" s="18">
        <f>($G14/Assumptions!$E$8+($H14/Assumptions!$E$14-$G14/Assumptions!$E$8)*(K$4-2019)/6)*INDEX(Assumptions!$E$5:$E$14,MATCH(K$4,Assumptions!$A$5:$A$14,0))</f>
        <v>16440766.558201261</v>
      </c>
      <c r="L14" s="18">
        <f>($G14/Assumptions!$E$8+($H14/Assumptions!$E$14-$G14/Assumptions!$E$8)*(L$4-2019)/6)*INDEX(Assumptions!$E$5:$E$14,MATCH(L$4,Assumptions!$A$5:$A$14,0))</f>
        <v>16827018.501107886</v>
      </c>
      <c r="M14" s="18">
        <f>($G14/Assumptions!$E$8+($H14/Assumptions!$E$14-$G14/Assumptions!$E$8)*(M$4-2019)/6)*INDEX(Assumptions!$E$5:$E$14,MATCH(M$4,Assumptions!$A$5:$A$14,0))</f>
        <v>17274922.003710609</v>
      </c>
      <c r="N14" s="18">
        <f>($G14/Assumptions!$E$8+($H14/Assumptions!$E$14-$G14/Assumptions!$E$8)*(N$4-2019)/6)*INDEX(Assumptions!$E$5:$E$14,MATCH(N$4,Assumptions!$A$5:$A$14,0))</f>
        <v>17999948</v>
      </c>
      <c r="O14" s="18">
        <f>($G14/Assumptions!$E$8+($H14/Assumptions!$E$14-$G14/Assumptions!$E$8)*(O$4-2019)/6)*INDEX(Assumptions!$E$5:$E$14,MATCH(O$4,Assumptions!$A$5:$A$14,0))</f>
        <v>18963274.638124559</v>
      </c>
      <c r="P14" s="18">
        <f>($G14/Assumptions!$E$8+($H14/Assumptions!$E$14-$G14/Assumptions!$E$8)*(P$4-2019)/6)*INDEX(Assumptions!$E$5:$E$14,MATCH(P$4,Assumptions!$A$5:$A$14,0))</f>
        <v>20658288.675838459</v>
      </c>
      <c r="Q14" s="18">
        <f>($G14/Assumptions!$E$8+($H14/Assumptions!$E$14-$G14/Assumptions!$E$8)*(Q$4-2019)/6)*INDEX(Assumptions!$E$5:$E$14,MATCH(Q$4,Assumptions!$A$5:$A$14,0))</f>
        <v>23306391.120555844</v>
      </c>
      <c r="R14" s="18">
        <f>($G14/Assumptions!$E$8+($H14/Assumptions!$E$14-$G14/Assumptions!$E$8)*(R$4-2019)/6)*INDEX(Assumptions!$E$5:$E$14,MATCH(R$4,Assumptions!$A$5:$A$14,0))</f>
        <v>24190491.260499924</v>
      </c>
      <c r="S14" s="18">
        <f>($G14/Assumptions!$E$8+($H14/Assumptions!$E$14-$G14/Assumptions!$E$8)*(S$4-2019)/6)*INDEX(Assumptions!$E$5:$E$14,MATCH(S$4,Assumptions!$A$5:$A$14,0))</f>
        <v>24060783.005227216</v>
      </c>
      <c r="T14" s="18">
        <f>($G14/Assumptions!$E$8+($H14/Assumptions!$E$14-$G14/Assumptions!$E$8)*(T$4-2019)/6)*INDEX(Assumptions!$E$5:$E$14,MATCH(T$4,Assumptions!$A$5:$A$14,0))</f>
        <v>24297002</v>
      </c>
    </row>
    <row r="15" spans="1:20">
      <c r="A15" s="3" t="s">
        <v>104</v>
      </c>
      <c r="B15" s="3" t="s">
        <v>94</v>
      </c>
      <c r="C15" s="14">
        <v>378149</v>
      </c>
      <c r="D15" s="14">
        <v>607811</v>
      </c>
      <c r="E15" s="14">
        <v>784038</v>
      </c>
      <c r="F15" s="14">
        <v>797014</v>
      </c>
      <c r="G15" s="15">
        <f>C15+E15</f>
        <v>1162187</v>
      </c>
      <c r="H15" s="15">
        <f>D15+F15</f>
        <v>1404825</v>
      </c>
      <c r="I15" s="10">
        <f>IFERROR((D15/C15)^(1/6)-1,0)</f>
        <v>8.2308161045090422E-2</v>
      </c>
      <c r="J15" s="10">
        <f>IFERROR((H15/G15)^(1/6)-1,0)</f>
        <v>3.2106157426413873E-2</v>
      </c>
      <c r="K15" s="15">
        <f>($G15/Assumptions!$E$8+($H15/Assumptions!$E$14-$G15/Assumptions!$E$8)*(K$4-2019)/6)*INDEX(Assumptions!$E$5:$E$14,MATCH(K$4,Assumptions!$A$5:$A$14,0))</f>
        <v>1118092.8781716381</v>
      </c>
      <c r="L15" s="15">
        <f>($G15/Assumptions!$E$8+($H15/Assumptions!$E$14-$G15/Assumptions!$E$8)*(L$4-2019)/6)*INDEX(Assumptions!$E$5:$E$14,MATCH(L$4,Assumptions!$A$5:$A$14,0))</f>
        <v>1124973.3280220421</v>
      </c>
      <c r="M15" s="15">
        <f>($G15/Assumptions!$E$8+($H15/Assumptions!$E$14-$G15/Assumptions!$E$8)*(M$4-2019)/6)*INDEX(Assumptions!$E$5:$E$14,MATCH(M$4,Assumptions!$A$5:$A$14,0))</f>
        <v>1135102.6255605563</v>
      </c>
      <c r="N15" s="15">
        <f>($G15/Assumptions!$E$8+($H15/Assumptions!$E$14-$G15/Assumptions!$E$8)*(N$4-2019)/6)*INDEX(Assumptions!$E$5:$E$14,MATCH(N$4,Assumptions!$A$5:$A$14,0))</f>
        <v>1162187</v>
      </c>
      <c r="O15" s="15">
        <f>($G15/Assumptions!$E$8+($H15/Assumptions!$E$14-$G15/Assumptions!$E$8)*(O$4-2019)/6)*INDEX(Assumptions!$E$5:$E$14,MATCH(O$4,Assumptions!$A$5:$A$14,0))</f>
        <v>1202824.9961557228</v>
      </c>
      <c r="P15" s="15">
        <f>($G15/Assumptions!$E$8+($H15/Assumptions!$E$14-$G15/Assumptions!$E$8)*(P$4-2019)/6)*INDEX(Assumptions!$E$5:$E$14,MATCH(P$4,Assumptions!$A$5:$A$14,0))</f>
        <v>1286954.3299290526</v>
      </c>
      <c r="Q15" s="15">
        <f>($G15/Assumptions!$E$8+($H15/Assumptions!$E$14-$G15/Assumptions!$E$8)*(Q$4-2019)/6)*INDEX(Assumptions!$E$5:$E$14,MATCH(Q$4,Assumptions!$A$5:$A$14,0))</f>
        <v>1425658.1643413701</v>
      </c>
      <c r="R15" s="15">
        <f>($G15/Assumptions!$E$8+($H15/Assumptions!$E$14-$G15/Assumptions!$E$8)*(R$4-2019)/6)*INDEX(Assumptions!$E$5:$E$14,MATCH(R$4,Assumptions!$A$5:$A$14,0))</f>
        <v>1452596.309814878</v>
      </c>
      <c r="S15" s="15">
        <f>($G15/Assumptions!$E$8+($H15/Assumptions!$E$14-$G15/Assumptions!$E$8)*(S$4-2019)/6)*INDEX(Assumptions!$E$5:$E$14,MATCH(S$4,Assumptions!$A$5:$A$14,0))</f>
        <v>1417928.6720783981</v>
      </c>
      <c r="T15" s="15">
        <f>($G15/Assumptions!$E$8+($H15/Assumptions!$E$14-$G15/Assumptions!$E$8)*(T$4-2019)/6)*INDEX(Assumptions!$E$5:$E$14,MATCH(T$4,Assumptions!$A$5:$A$14,0))</f>
        <v>1404825</v>
      </c>
    </row>
    <row r="16" spans="1:20">
      <c r="A16" s="16" t="s">
        <v>105</v>
      </c>
      <c r="B16" s="16" t="s">
        <v>94</v>
      </c>
      <c r="C16" s="17">
        <v>3006691</v>
      </c>
      <c r="D16" s="17">
        <v>4739530</v>
      </c>
      <c r="E16" s="17">
        <v>5018335</v>
      </c>
      <c r="F16" s="17">
        <v>5714334</v>
      </c>
      <c r="G16" s="18">
        <f>C16+E16</f>
        <v>8025026</v>
      </c>
      <c r="H16" s="18">
        <f>D16+F16</f>
        <v>10453864</v>
      </c>
      <c r="I16" s="19">
        <f>IFERROR((D16/C16)^(1/6)-1,0)</f>
        <v>7.8800352852498534E-2</v>
      </c>
      <c r="J16" s="19">
        <f>IFERROR((H16/G16)^(1/6)-1,0)</f>
        <v>4.5053200465802412E-2</v>
      </c>
      <c r="K16" s="18">
        <f>($G16/Assumptions!$E$8+($H16/Assumptions!$E$14-$G16/Assumptions!$E$8)*(K$4-2019)/6)*INDEX(Assumptions!$E$5:$E$14,MATCH(K$4,Assumptions!$A$5:$A$14,0))</f>
        <v>7460549.3995315833</v>
      </c>
      <c r="L16" s="18">
        <f>($G16/Assumptions!$E$8+($H16/Assumptions!$E$14-$G16/Assumptions!$E$8)*(L$4-2019)/6)*INDEX(Assumptions!$E$5:$E$14,MATCH(L$4,Assumptions!$A$5:$A$14,0))</f>
        <v>7591048.6996820634</v>
      </c>
      <c r="M16" s="18">
        <f>($G16/Assumptions!$E$8+($H16/Assumptions!$E$14-$G16/Assumptions!$E$8)*(M$4-2019)/6)*INDEX(Assumptions!$E$5:$E$14,MATCH(M$4,Assumptions!$A$5:$A$14,0))</f>
        <v>7747344.5004360536</v>
      </c>
      <c r="N16" s="18">
        <f>($G16/Assumptions!$E$8+($H16/Assumptions!$E$14-$G16/Assumptions!$E$8)*(N$4-2019)/6)*INDEX(Assumptions!$E$5:$E$14,MATCH(N$4,Assumptions!$A$5:$A$14,0))</f>
        <v>8025026</v>
      </c>
      <c r="O16" s="18">
        <f>($G16/Assumptions!$E$8+($H16/Assumptions!$E$14-$G16/Assumptions!$E$8)*(O$4-2019)/6)*INDEX(Assumptions!$E$5:$E$14,MATCH(O$4,Assumptions!$A$5:$A$14,0))</f>
        <v>8404718.2948975898</v>
      </c>
      <c r="P16" s="18">
        <f>($G16/Assumptions!$E$8+($H16/Assumptions!$E$14-$G16/Assumptions!$E$8)*(P$4-2019)/6)*INDEX(Assumptions!$E$5:$E$14,MATCH(P$4,Assumptions!$A$5:$A$14,0))</f>
        <v>9101960.5478410162</v>
      </c>
      <c r="Q16" s="18">
        <f>($G16/Assumptions!$E$8+($H16/Assumptions!$E$14-$G16/Assumptions!$E$8)*(Q$4-2019)/6)*INDEX(Assumptions!$E$5:$E$14,MATCH(Q$4,Assumptions!$A$5:$A$14,0))</f>
        <v>10208043.560242759</v>
      </c>
      <c r="R16" s="18">
        <f>($G16/Assumptions!$E$8+($H16/Assumptions!$E$14-$G16/Assumptions!$E$8)*(R$4-2019)/6)*INDEX(Assumptions!$E$5:$E$14,MATCH(R$4,Assumptions!$A$5:$A$14,0))</f>
        <v>10532587.916179333</v>
      </c>
      <c r="S16" s="18">
        <f>($G16/Assumptions!$E$8+($H16/Assumptions!$E$14-$G16/Assumptions!$E$8)*(S$4-2019)/6)*INDEX(Assumptions!$E$5:$E$14,MATCH(S$4,Assumptions!$A$5:$A$14,0))</f>
        <v>10414035.894760756</v>
      </c>
      <c r="T16" s="18">
        <f>($G16/Assumptions!$E$8+($H16/Assumptions!$E$14-$G16/Assumptions!$E$8)*(T$4-2019)/6)*INDEX(Assumptions!$E$5:$E$14,MATCH(T$4,Assumptions!$A$5:$A$14,0))</f>
        <v>10453864</v>
      </c>
    </row>
    <row r="17" spans="1:20">
      <c r="A17" s="3" t="s">
        <v>106</v>
      </c>
      <c r="B17" s="3" t="s">
        <v>94</v>
      </c>
      <c r="C17" s="14">
        <v>629576</v>
      </c>
      <c r="D17" s="14">
        <v>1240775</v>
      </c>
      <c r="E17" s="14">
        <v>2019246</v>
      </c>
      <c r="F17" s="14">
        <v>2059193</v>
      </c>
      <c r="G17" s="15">
        <f>C17+E17</f>
        <v>2648822</v>
      </c>
      <c r="H17" s="15">
        <f>D17+F17</f>
        <v>3299968</v>
      </c>
      <c r="I17" s="10">
        <f>IFERROR((D17/C17)^(1/6)-1,0)</f>
        <v>0.11971495420247336</v>
      </c>
      <c r="J17" s="10">
        <f>IFERROR((H17/G17)^(1/6)-1,0)</f>
        <v>3.731221563787579E-2</v>
      </c>
      <c r="K17" s="15">
        <f>($G17/Assumptions!$E$8+($H17/Assumptions!$E$14-$G17/Assumptions!$E$8)*(K$4-2019)/6)*INDEX(Assumptions!$E$5:$E$14,MATCH(K$4,Assumptions!$A$5:$A$14,0))</f>
        <v>2514457.7717051534</v>
      </c>
      <c r="L17" s="15">
        <f>($G17/Assumptions!$E$8+($H17/Assumptions!$E$14-$G17/Assumptions!$E$8)*(L$4-2019)/6)*INDEX(Assumptions!$E$5:$E$14,MATCH(L$4,Assumptions!$A$5:$A$14,0))</f>
        <v>2540949.120328858</v>
      </c>
      <c r="M17" s="15">
        <f>($G17/Assumptions!$E$8+($H17/Assumptions!$E$14-$G17/Assumptions!$E$8)*(M$4-2019)/6)*INDEX(Assumptions!$E$5:$E$14,MATCH(M$4,Assumptions!$A$5:$A$14,0))</f>
        <v>2575283.1706479196</v>
      </c>
      <c r="N17" s="15">
        <f>($G17/Assumptions!$E$8+($H17/Assumptions!$E$14-$G17/Assumptions!$E$8)*(N$4-2019)/6)*INDEX(Assumptions!$E$5:$E$14,MATCH(N$4,Assumptions!$A$5:$A$14,0))</f>
        <v>2648822</v>
      </c>
      <c r="O17" s="15">
        <f>($G17/Assumptions!$E$8+($H17/Assumptions!$E$14-$G17/Assumptions!$E$8)*(O$4-2019)/6)*INDEX(Assumptions!$E$5:$E$14,MATCH(O$4,Assumptions!$A$5:$A$14,0))</f>
        <v>2754348.7826693519</v>
      </c>
      <c r="P17" s="15">
        <f>($G17/Assumptions!$E$8+($H17/Assumptions!$E$14-$G17/Assumptions!$E$8)*(P$4-2019)/6)*INDEX(Assumptions!$E$5:$E$14,MATCH(P$4,Assumptions!$A$5:$A$14,0))</f>
        <v>2961244.9885452325</v>
      </c>
      <c r="Q17" s="15">
        <f>($G17/Assumptions!$E$8+($H17/Assumptions!$E$14-$G17/Assumptions!$E$8)*(Q$4-2019)/6)*INDEX(Assumptions!$E$5:$E$14,MATCH(Q$4,Assumptions!$A$5:$A$14,0))</f>
        <v>3296693.6257794886</v>
      </c>
      <c r="R17" s="15">
        <f>($G17/Assumptions!$E$8+($H17/Assumptions!$E$14-$G17/Assumptions!$E$8)*(R$4-2019)/6)*INDEX(Assumptions!$E$5:$E$14,MATCH(R$4,Assumptions!$A$5:$A$14,0))</f>
        <v>3376134.7559149708</v>
      </c>
      <c r="S17" s="15">
        <f>($G17/Assumptions!$E$8+($H17/Assumptions!$E$14-$G17/Assumptions!$E$8)*(S$4-2019)/6)*INDEX(Assumptions!$E$5:$E$14,MATCH(S$4,Assumptions!$A$5:$A$14,0))</f>
        <v>3312860.0905071911</v>
      </c>
      <c r="T17" s="15">
        <f>($G17/Assumptions!$E$8+($H17/Assumptions!$E$14-$G17/Assumptions!$E$8)*(T$4-2019)/6)*INDEX(Assumptions!$E$5:$E$14,MATCH(T$4,Assumptions!$A$5:$A$14,0))</f>
        <v>3299968</v>
      </c>
    </row>
    <row r="18" spans="1:20">
      <c r="A18" s="16" t="s">
        <v>107</v>
      </c>
      <c r="B18" s="16" t="s">
        <v>94</v>
      </c>
      <c r="C18" s="17">
        <v>1797470</v>
      </c>
      <c r="D18" s="17">
        <v>2276777</v>
      </c>
      <c r="E18" s="17">
        <v>2927294</v>
      </c>
      <c r="F18" s="17">
        <v>2931977</v>
      </c>
      <c r="G18" s="18">
        <f>C18+E18</f>
        <v>4724764</v>
      </c>
      <c r="H18" s="18">
        <f>D18+F18</f>
        <v>5208754</v>
      </c>
      <c r="I18" s="19">
        <f>IFERROR((D18/C18)^(1/6)-1,0)</f>
        <v>4.0183133577585073E-2</v>
      </c>
      <c r="J18" s="19">
        <f>IFERROR((H18/G18)^(1/6)-1,0)</f>
        <v>1.638665548422602E-2</v>
      </c>
      <c r="K18" s="18">
        <f>($G18/Assumptions!$E$8+($H18/Assumptions!$E$14-$G18/Assumptions!$E$8)*(K$4-2019)/6)*INDEX(Assumptions!$E$5:$E$14,MATCH(K$4,Assumptions!$A$5:$A$14,0))</f>
        <v>4718896.0397667903</v>
      </c>
      <c r="L18" s="18">
        <f>($G18/Assumptions!$E$8+($H18/Assumptions!$E$14-$G18/Assumptions!$E$8)*(L$4-2019)/6)*INDEX(Assumptions!$E$5:$E$14,MATCH(L$4,Assumptions!$A$5:$A$14,0))</f>
        <v>4691523.3285201769</v>
      </c>
      <c r="M18" s="18">
        <f>($G18/Assumptions!$E$8+($H18/Assumptions!$E$14-$G18/Assumptions!$E$8)*(M$4-2019)/6)*INDEX(Assumptions!$E$5:$E$14,MATCH(M$4,Assumptions!$A$5:$A$14,0))</f>
        <v>4675115.8520577978</v>
      </c>
      <c r="N18" s="18">
        <f>($G18/Assumptions!$E$8+($H18/Assumptions!$E$14-$G18/Assumptions!$E$8)*(N$4-2019)/6)*INDEX(Assumptions!$E$5:$E$14,MATCH(N$4,Assumptions!$A$5:$A$14,0))</f>
        <v>4724764</v>
      </c>
      <c r="O18" s="18">
        <f>($G18/Assumptions!$E$8+($H18/Assumptions!$E$14-$G18/Assumptions!$E$8)*(O$4-2019)/6)*INDEX(Assumptions!$E$5:$E$14,MATCH(O$4,Assumptions!$A$5:$A$14,0))</f>
        <v>4823896.8798539583</v>
      </c>
      <c r="P18" s="18">
        <f>($G18/Assumptions!$E$8+($H18/Assumptions!$E$14-$G18/Assumptions!$E$8)*(P$4-2019)/6)*INDEX(Assumptions!$E$5:$E$14,MATCH(P$4,Assumptions!$A$5:$A$14,0))</f>
        <v>5088344.1997628063</v>
      </c>
      <c r="Q18" s="18">
        <f>($G18/Assumptions!$E$8+($H18/Assumptions!$E$14-$G18/Assumptions!$E$8)*(Q$4-2019)/6)*INDEX(Assumptions!$E$5:$E$14,MATCH(Q$4,Assumptions!$A$5:$A$14,0))</f>
        <v>5553319.9970551012</v>
      </c>
      <c r="R18" s="18">
        <f>($G18/Assumptions!$E$8+($H18/Assumptions!$E$14-$G18/Assumptions!$E$8)*(R$4-2019)/6)*INDEX(Assumptions!$E$5:$E$14,MATCH(R$4,Assumptions!$A$5:$A$14,0))</f>
        <v>5570447.9326458471</v>
      </c>
      <c r="S18" s="18">
        <f>($G18/Assumptions!$E$8+($H18/Assumptions!$E$14-$G18/Assumptions!$E$8)*(S$4-2019)/6)*INDEX(Assumptions!$E$5:$E$14,MATCH(S$4,Assumptions!$A$5:$A$14,0))</f>
        <v>5348928.4100171169</v>
      </c>
      <c r="T18" s="18">
        <f>($G18/Assumptions!$E$8+($H18/Assumptions!$E$14-$G18/Assumptions!$E$8)*(T$4-2019)/6)*INDEX(Assumptions!$E$5:$E$14,MATCH(T$4,Assumptions!$A$5:$A$14,0))</f>
        <v>5208754</v>
      </c>
    </row>
    <row r="19" spans="1:20">
      <c r="A19" s="3" t="s">
        <v>108</v>
      </c>
      <c r="B19" s="3" t="s">
        <v>94</v>
      </c>
      <c r="C19" s="14">
        <v>939146</v>
      </c>
      <c r="D19" s="14">
        <v>1279636</v>
      </c>
      <c r="E19" s="14">
        <v>2228105</v>
      </c>
      <c r="F19" s="14">
        <v>2595332</v>
      </c>
      <c r="G19" s="15">
        <f>C19+E19</f>
        <v>3167251</v>
      </c>
      <c r="H19" s="15">
        <f>D19+F19</f>
        <v>3874968</v>
      </c>
      <c r="I19" s="10">
        <f>IFERROR((D19/C19)^(1/6)-1,0)</f>
        <v>5.2912357347050909E-2</v>
      </c>
      <c r="J19" s="10">
        <f>IFERROR((H19/G19)^(1/6)-1,0)</f>
        <v>3.418350457183017E-2</v>
      </c>
      <c r="K19" s="15">
        <f>($G19/Assumptions!$E$8+($H19/Assumptions!$E$14-$G19/Assumptions!$E$8)*(K$4-2019)/6)*INDEX(Assumptions!$E$5:$E$14,MATCH(K$4,Assumptions!$A$5:$A$14,0))</f>
        <v>3031047.1937624849</v>
      </c>
      <c r="L19" s="15">
        <f>($G19/Assumptions!$E$8+($H19/Assumptions!$E$14-$G19/Assumptions!$E$8)*(L$4-2019)/6)*INDEX(Assumptions!$E$5:$E$14,MATCH(L$4,Assumptions!$A$5:$A$14,0))</f>
        <v>3054916.701349373</v>
      </c>
      <c r="M19" s="15">
        <f>($G19/Assumptions!$E$8+($H19/Assumptions!$E$14-$G19/Assumptions!$E$8)*(M$4-2019)/6)*INDEX(Assumptions!$E$5:$E$14,MATCH(M$4,Assumptions!$A$5:$A$14,0))</f>
        <v>3087847.5462195473</v>
      </c>
      <c r="N19" s="15">
        <f>($G19/Assumptions!$E$8+($H19/Assumptions!$E$14-$G19/Assumptions!$E$8)*(N$4-2019)/6)*INDEX(Assumptions!$E$5:$E$14,MATCH(N$4,Assumptions!$A$5:$A$14,0))</f>
        <v>3167250.9999999995</v>
      </c>
      <c r="O19" s="15">
        <f>($G19/Assumptions!$E$8+($H19/Assumptions!$E$14-$G19/Assumptions!$E$8)*(O$4-2019)/6)*INDEX(Assumptions!$E$5:$E$14,MATCH(O$4,Assumptions!$A$5:$A$14,0))</f>
        <v>3284110.8936465345</v>
      </c>
      <c r="P19" s="15">
        <f>($G19/Assumptions!$E$8+($H19/Assumptions!$E$14-$G19/Assumptions!$E$8)*(P$4-2019)/6)*INDEX(Assumptions!$E$5:$E$14,MATCH(P$4,Assumptions!$A$5:$A$14,0))</f>
        <v>3520558.7600377193</v>
      </c>
      <c r="Q19" s="15">
        <f>($G19/Assumptions!$E$8+($H19/Assumptions!$E$14-$G19/Assumptions!$E$8)*(Q$4-2019)/6)*INDEX(Assumptions!$E$5:$E$14,MATCH(Q$4,Assumptions!$A$5:$A$14,0))</f>
        <v>3907709.3801687984</v>
      </c>
      <c r="R19" s="15">
        <f>($G19/Assumptions!$E$8+($H19/Assumptions!$E$14-$G19/Assumptions!$E$8)*(R$4-2019)/6)*INDEX(Assumptions!$E$5:$E$14,MATCH(R$4,Assumptions!$A$5:$A$14,0))</f>
        <v>3989666.9840009096</v>
      </c>
      <c r="S19" s="15">
        <f>($G19/Assumptions!$E$8+($H19/Assumptions!$E$14-$G19/Assumptions!$E$8)*(S$4-2019)/6)*INDEX(Assumptions!$E$5:$E$14,MATCH(S$4,Assumptions!$A$5:$A$14,0))</f>
        <v>3902641.5761418673</v>
      </c>
      <c r="T19" s="15">
        <f>($G19/Assumptions!$E$8+($H19/Assumptions!$E$14-$G19/Assumptions!$E$8)*(T$4-2019)/6)*INDEX(Assumptions!$E$5:$E$14,MATCH(T$4,Assumptions!$A$5:$A$14,0))</f>
        <v>3874968</v>
      </c>
    </row>
    <row r="20" spans="1:20">
      <c r="A20" s="16" t="s">
        <v>109</v>
      </c>
      <c r="B20" s="16" t="s">
        <v>94</v>
      </c>
      <c r="C20" s="17">
        <v>5696248</v>
      </c>
      <c r="D20" s="17">
        <v>9111831</v>
      </c>
      <c r="E20" s="17">
        <v>8210783</v>
      </c>
      <c r="F20" s="17">
        <v>9556499</v>
      </c>
      <c r="G20" s="18">
        <f>C20+E20</f>
        <v>13907031</v>
      </c>
      <c r="H20" s="18">
        <f>D20+F20</f>
        <v>18668330</v>
      </c>
      <c r="I20" s="19">
        <f>IFERROR((D20/C20)^(1/6)-1,0)</f>
        <v>8.144090990502062E-2</v>
      </c>
      <c r="J20" s="19">
        <f>IFERROR((H20/G20)^(1/6)-1,0)</f>
        <v>5.0296313413783267E-2</v>
      </c>
      <c r="K20" s="18">
        <f>($G20/Assumptions!$E$8+($H20/Assumptions!$E$14-$G20/Assumptions!$E$8)*(K$4-2019)/6)*INDEX(Assumptions!$E$5:$E$14,MATCH(K$4,Assumptions!$A$5:$A$14,0))</f>
        <v>12738240.407428956</v>
      </c>
      <c r="L20" s="18">
        <f>($G20/Assumptions!$E$8+($H20/Assumptions!$E$14-$G20/Assumptions!$E$8)*(L$4-2019)/6)*INDEX(Assumptions!$E$5:$E$14,MATCH(L$4,Assumptions!$A$5:$A$14,0))</f>
        <v>13025219.581637492</v>
      </c>
      <c r="M20" s="18">
        <f>($G20/Assumptions!$E$8+($H20/Assumptions!$E$14-$G20/Assumptions!$E$8)*(M$4-2019)/6)*INDEX(Assumptions!$E$5:$E$14,MATCH(M$4,Assumptions!$A$5:$A$14,0))</f>
        <v>13359367.912900899</v>
      </c>
      <c r="N20" s="18">
        <f>($G20/Assumptions!$E$8+($H20/Assumptions!$E$14-$G20/Assumptions!$E$8)*(N$4-2019)/6)*INDEX(Assumptions!$E$5:$E$14,MATCH(N$4,Assumptions!$A$5:$A$14,0))</f>
        <v>13907031</v>
      </c>
      <c r="O20" s="18">
        <f>($G20/Assumptions!$E$8+($H20/Assumptions!$E$14-$G20/Assumptions!$E$8)*(O$4-2019)/6)*INDEX(Assumptions!$E$5:$E$14,MATCH(O$4,Assumptions!$A$5:$A$14,0))</f>
        <v>14637647.345293541</v>
      </c>
      <c r="P20" s="18">
        <f>($G20/Assumptions!$E$8+($H20/Assumptions!$E$14-$G20/Assumptions!$E$8)*(P$4-2019)/6)*INDEX(Assumptions!$E$5:$E$14,MATCH(P$4,Assumptions!$A$5:$A$14,0))</f>
        <v>15931199.1867212</v>
      </c>
      <c r="Q20" s="18">
        <f>($G20/Assumptions!$E$8+($H20/Assumptions!$E$14-$G20/Assumptions!$E$8)*(Q$4-2019)/6)*INDEX(Assumptions!$E$5:$E$14,MATCH(Q$4,Assumptions!$A$5:$A$14,0))</f>
        <v>17956708.69751833</v>
      </c>
      <c r="R20" s="18">
        <f>($G20/Assumptions!$E$8+($H20/Assumptions!$E$14-$G20/Assumptions!$E$8)*(R$4-2019)/6)*INDEX(Assumptions!$E$5:$E$14,MATCH(R$4,Assumptions!$A$5:$A$14,0))</f>
        <v>18620672.828522675</v>
      </c>
      <c r="S20" s="18">
        <f>($G20/Assumptions!$E$8+($H20/Assumptions!$E$14-$G20/Assumptions!$E$8)*(S$4-2019)/6)*INDEX(Assumptions!$E$5:$E$14,MATCH(S$4,Assumptions!$A$5:$A$14,0))</f>
        <v>18503794.552888636</v>
      </c>
      <c r="T20" s="18">
        <f>($G20/Assumptions!$E$8+($H20/Assumptions!$E$14-$G20/Assumptions!$E$8)*(T$4-2019)/6)*INDEX(Assumptions!$E$5:$E$14,MATCH(T$4,Assumptions!$A$5:$A$14,0))</f>
        <v>18668330</v>
      </c>
    </row>
    <row r="21" spans="1:20">
      <c r="A21" s="3" t="s">
        <v>110</v>
      </c>
      <c r="B21" s="3" t="s">
        <v>94</v>
      </c>
      <c r="C21" s="14">
        <v>2239107</v>
      </c>
      <c r="D21" s="14">
        <v>4307499</v>
      </c>
      <c r="E21" s="14">
        <v>4644673</v>
      </c>
      <c r="F21" s="14">
        <v>5977128</v>
      </c>
      <c r="G21" s="15">
        <f>C21+E21</f>
        <v>6883780</v>
      </c>
      <c r="H21" s="15">
        <f>D21+F21</f>
        <v>10284627</v>
      </c>
      <c r="I21" s="10">
        <f>IFERROR((D21/C21)^(1/6)-1,0)</f>
        <v>0.11521445409968512</v>
      </c>
      <c r="J21" s="10">
        <f>IFERROR((H21/G21)^(1/6)-1,0)</f>
        <v>6.9203226256948636E-2</v>
      </c>
      <c r="K21" s="15">
        <f>($G21/Assumptions!$E$8+($H21/Assumptions!$E$14-$G21/Assumptions!$E$8)*(K$4-2019)/6)*INDEX(Assumptions!$E$5:$E$14,MATCH(K$4,Assumptions!$A$5:$A$14,0))</f>
        <v>5944929.3899497772</v>
      </c>
      <c r="L21" s="15">
        <f>($G21/Assumptions!$E$8+($H21/Assumptions!$E$14-$G21/Assumptions!$E$8)*(L$4-2019)/6)*INDEX(Assumptions!$E$5:$E$14,MATCH(L$4,Assumptions!$A$5:$A$14,0))</f>
        <v>6201987.901567895</v>
      </c>
      <c r="M21" s="15">
        <f>($G21/Assumptions!$E$8+($H21/Assumptions!$E$14-$G21/Assumptions!$E$8)*(M$4-2019)/6)*INDEX(Assumptions!$E$5:$E$14,MATCH(M$4,Assumptions!$A$5:$A$14,0))</f>
        <v>6487054.7855449021</v>
      </c>
      <c r="N21" s="15">
        <f>($G21/Assumptions!$E$8+($H21/Assumptions!$E$14-$G21/Assumptions!$E$8)*(N$4-2019)/6)*INDEX(Assumptions!$E$5:$E$14,MATCH(N$4,Assumptions!$A$5:$A$14,0))</f>
        <v>6883780</v>
      </c>
      <c r="O21" s="15">
        <f>($G21/Assumptions!$E$8+($H21/Assumptions!$E$14-$G21/Assumptions!$E$8)*(O$4-2019)/6)*INDEX(Assumptions!$E$5:$E$14,MATCH(O$4,Assumptions!$A$5:$A$14,0))</f>
        <v>7382735.2451803898</v>
      </c>
      <c r="P21" s="15">
        <f>($G21/Assumptions!$E$8+($H21/Assumptions!$E$14-$G21/Assumptions!$E$8)*(P$4-2019)/6)*INDEX(Assumptions!$E$5:$E$14,MATCH(P$4,Assumptions!$A$5:$A$14,0))</f>
        <v>8184223.6789374575</v>
      </c>
      <c r="Q21" s="15">
        <f>($G21/Assumptions!$E$8+($H21/Assumptions!$E$14-$G21/Assumptions!$E$8)*(Q$4-2019)/6)*INDEX(Assumptions!$E$5:$E$14,MATCH(Q$4,Assumptions!$A$5:$A$14,0))</f>
        <v>9392364.0703592412</v>
      </c>
      <c r="R21" s="15">
        <f>($G21/Assumptions!$E$8+($H21/Assumptions!$E$14-$G21/Assumptions!$E$8)*(R$4-2019)/6)*INDEX(Assumptions!$E$5:$E$14,MATCH(R$4,Assumptions!$A$5:$A$14,0))</f>
        <v>9912999.4449665621</v>
      </c>
      <c r="S21" s="15">
        <f>($G21/Assumptions!$E$8+($H21/Assumptions!$E$14-$G21/Assumptions!$E$8)*(S$4-2019)/6)*INDEX(Assumptions!$E$5:$E$14,MATCH(S$4,Assumptions!$A$5:$A$14,0))</f>
        <v>10022597.512894103</v>
      </c>
      <c r="T21" s="15">
        <f>($G21/Assumptions!$E$8+($H21/Assumptions!$E$14-$G21/Assumptions!$E$8)*(T$4-2019)/6)*INDEX(Assumptions!$E$5:$E$14,MATCH(T$4,Assumptions!$A$5:$A$14,0))</f>
        <v>10284627</v>
      </c>
    </row>
    <row r="22" spans="1:20">
      <c r="A22" s="16" t="s">
        <v>111</v>
      </c>
      <c r="B22" s="16" t="s">
        <v>94</v>
      </c>
      <c r="C22" s="17">
        <v>2043840</v>
      </c>
      <c r="D22" s="17">
        <v>3293285</v>
      </c>
      <c r="E22" s="17">
        <v>4013200</v>
      </c>
      <c r="F22" s="17">
        <v>4425300</v>
      </c>
      <c r="G22" s="18">
        <f>C22+E22</f>
        <v>6057040</v>
      </c>
      <c r="H22" s="18">
        <f>D22+F22</f>
        <v>7718585</v>
      </c>
      <c r="I22" s="19">
        <f>IFERROR((D22/C22)^(1/6)-1,0)</f>
        <v>8.2755512800276598E-2</v>
      </c>
      <c r="J22" s="19">
        <f>IFERROR((H22/G22)^(1/6)-1,0)</f>
        <v>4.1228886819341781E-2</v>
      </c>
      <c r="K22" s="18">
        <f>($G22/Assumptions!$E$8+($H22/Assumptions!$E$14-$G22/Assumptions!$E$8)*(K$4-2019)/6)*INDEX(Assumptions!$E$5:$E$14,MATCH(K$4,Assumptions!$A$5:$A$14,0))</f>
        <v>5690233.7794327354</v>
      </c>
      <c r="L22" s="18">
        <f>($G22/Assumptions!$E$8+($H22/Assumptions!$E$14-$G22/Assumptions!$E$8)*(L$4-2019)/6)*INDEX(Assumptions!$E$5:$E$14,MATCH(L$4,Assumptions!$A$5:$A$14,0))</f>
        <v>5769820.9887615517</v>
      </c>
      <c r="M22" s="18">
        <f>($G22/Assumptions!$E$8+($H22/Assumptions!$E$14-$G22/Assumptions!$E$8)*(M$4-2019)/6)*INDEX(Assumptions!$E$5:$E$14,MATCH(M$4,Assumptions!$A$5:$A$14,0))</f>
        <v>5868112.3448455948</v>
      </c>
      <c r="N22" s="18">
        <f>($G22/Assumptions!$E$8+($H22/Assumptions!$E$14-$G22/Assumptions!$E$8)*(N$4-2019)/6)*INDEX(Assumptions!$E$5:$E$14,MATCH(N$4,Assumptions!$A$5:$A$14,0))</f>
        <v>6057040</v>
      </c>
      <c r="O22" s="18">
        <f>($G22/Assumptions!$E$8+($H22/Assumptions!$E$14-$G22/Assumptions!$E$8)*(O$4-2019)/6)*INDEX(Assumptions!$E$5:$E$14,MATCH(O$4,Assumptions!$A$5:$A$14,0))</f>
        <v>6321043.3173089335</v>
      </c>
      <c r="P22" s="18">
        <f>($G22/Assumptions!$E$8+($H22/Assumptions!$E$14-$G22/Assumptions!$E$8)*(P$4-2019)/6)*INDEX(Assumptions!$E$5:$E$14,MATCH(P$4,Assumptions!$A$5:$A$14,0))</f>
        <v>6820795.7639050959</v>
      </c>
      <c r="Q22" s="18">
        <f>($G22/Assumptions!$E$8+($H22/Assumptions!$E$14-$G22/Assumptions!$E$8)*(Q$4-2019)/6)*INDEX(Assumptions!$E$5:$E$14,MATCH(Q$4,Assumptions!$A$5:$A$14,0))</f>
        <v>7621837.549235139</v>
      </c>
      <c r="R22" s="18">
        <f>($G22/Assumptions!$E$8+($H22/Assumptions!$E$14-$G22/Assumptions!$E$8)*(R$4-2019)/6)*INDEX(Assumptions!$E$5:$E$14,MATCH(R$4,Assumptions!$A$5:$A$14,0))</f>
        <v>7835227.7471413109</v>
      </c>
      <c r="S22" s="18">
        <f>($G22/Assumptions!$E$8+($H22/Assumptions!$E$14-$G22/Assumptions!$E$8)*(S$4-2019)/6)*INDEX(Assumptions!$E$5:$E$14,MATCH(S$4,Assumptions!$A$5:$A$14,0))</f>
        <v>7718216.0610596575</v>
      </c>
      <c r="T22" s="18">
        <f>($G22/Assumptions!$E$8+($H22/Assumptions!$E$14-$G22/Assumptions!$E$8)*(T$4-2019)/6)*INDEX(Assumptions!$E$5:$E$14,MATCH(T$4,Assumptions!$A$5:$A$14,0))</f>
        <v>7718585</v>
      </c>
    </row>
    <row r="23" spans="1:20">
      <c r="A23" s="3" t="s">
        <v>112</v>
      </c>
      <c r="B23" s="3" t="s">
        <v>94</v>
      </c>
      <c r="C23" s="14">
        <v>894389</v>
      </c>
      <c r="D23" s="14">
        <v>1499340</v>
      </c>
      <c r="E23" s="14">
        <v>797908</v>
      </c>
      <c r="F23" s="14">
        <v>801810</v>
      </c>
      <c r="G23" s="15">
        <f>C23+E23</f>
        <v>1692297</v>
      </c>
      <c r="H23" s="15">
        <f>D23+F23</f>
        <v>2301150</v>
      </c>
      <c r="I23" s="10">
        <f>IFERROR((D23/C23)^(1/6)-1,0)</f>
        <v>8.9922487267792395E-2</v>
      </c>
      <c r="J23" s="10">
        <f>IFERROR((H23/G23)^(1/6)-1,0)</f>
        <v>5.2554819282445875E-2</v>
      </c>
      <c r="K23" s="15">
        <f>($G23/Assumptions!$E$8+($H23/Assumptions!$E$14-$G23/Assumptions!$E$8)*(K$4-2019)/6)*INDEX(Assumptions!$E$5:$E$14,MATCH(K$4,Assumptions!$A$5:$A$14,0))</f>
        <v>1539901.6170850112</v>
      </c>
      <c r="L23" s="15">
        <f>($G23/Assumptions!$E$8+($H23/Assumptions!$E$14-$G23/Assumptions!$E$8)*(L$4-2019)/6)*INDEX(Assumptions!$E$5:$E$14,MATCH(L$4,Assumptions!$A$5:$A$14,0))</f>
        <v>1578069.0299140781</v>
      </c>
      <c r="M23" s="15">
        <f>($G23/Assumptions!$E$8+($H23/Assumptions!$E$14-$G23/Assumptions!$E$8)*(M$4-2019)/6)*INDEX(Assumptions!$E$5:$E$14,MATCH(M$4,Assumptions!$A$5:$A$14,0))</f>
        <v>1622107.8202979926</v>
      </c>
      <c r="N23" s="15">
        <f>($G23/Assumptions!$E$8+($H23/Assumptions!$E$14-$G23/Assumptions!$E$8)*(N$4-2019)/6)*INDEX(Assumptions!$E$5:$E$14,MATCH(N$4,Assumptions!$A$5:$A$14,0))</f>
        <v>1692296.9999999998</v>
      </c>
      <c r="O23" s="15">
        <f>($G23/Assumptions!$E$8+($H23/Assumptions!$E$14-$G23/Assumptions!$E$8)*(O$4-2019)/6)*INDEX(Assumptions!$E$5:$E$14,MATCH(O$4,Assumptions!$A$5:$A$14,0))</f>
        <v>1785078.5014625606</v>
      </c>
      <c r="P23" s="15">
        <f>($G23/Assumptions!$E$8+($H23/Assumptions!$E$14-$G23/Assumptions!$E$8)*(P$4-2019)/6)*INDEX(Assumptions!$E$5:$E$14,MATCH(P$4,Assumptions!$A$5:$A$14,0))</f>
        <v>1947035.8278558853</v>
      </c>
      <c r="Q23" s="15">
        <f>($G23/Assumptions!$E$8+($H23/Assumptions!$E$14-$G23/Assumptions!$E$8)*(Q$4-2019)/6)*INDEX(Assumptions!$E$5:$E$14,MATCH(Q$4,Assumptions!$A$5:$A$14,0))</f>
        <v>2199314.0051565673</v>
      </c>
      <c r="R23" s="15">
        <f>($G23/Assumptions!$E$8+($H23/Assumptions!$E$14-$G23/Assumptions!$E$8)*(R$4-2019)/6)*INDEX(Assumptions!$E$5:$E$14,MATCH(R$4,Assumptions!$A$5:$A$14,0))</f>
        <v>2285527.8785211286</v>
      </c>
      <c r="S23" s="15">
        <f>($G23/Assumptions!$E$8+($H23/Assumptions!$E$14-$G23/Assumptions!$E$8)*(S$4-2019)/6)*INDEX(Assumptions!$E$5:$E$14,MATCH(S$4,Assumptions!$A$5:$A$14,0))</f>
        <v>2276031.4549407135</v>
      </c>
      <c r="T23" s="15">
        <f>($G23/Assumptions!$E$8+($H23/Assumptions!$E$14-$G23/Assumptions!$E$8)*(T$4-2019)/6)*INDEX(Assumptions!$E$5:$E$14,MATCH(T$4,Assumptions!$A$5:$A$14,0))</f>
        <v>2301150</v>
      </c>
    </row>
    <row r="24" spans="1:20">
      <c r="A24" s="16" t="s">
        <v>113</v>
      </c>
      <c r="B24" s="16" t="s">
        <v>94</v>
      </c>
      <c r="C24" s="17">
        <v>744107</v>
      </c>
      <c r="D24" s="17">
        <v>1061775</v>
      </c>
      <c r="E24" s="17">
        <v>1879734</v>
      </c>
      <c r="F24" s="17">
        <v>1985343</v>
      </c>
      <c r="G24" s="18">
        <f>C24+E24</f>
        <v>2623841</v>
      </c>
      <c r="H24" s="18">
        <f>D24+F24</f>
        <v>3047118</v>
      </c>
      <c r="I24" s="19">
        <f>IFERROR((D24/C24)^(1/6)-1,0)</f>
        <v>6.1042673475478093E-2</v>
      </c>
      <c r="J24" s="19">
        <f>IFERROR((H24/G24)^(1/6)-1,0)</f>
        <v>2.523941253648343E-2</v>
      </c>
      <c r="K24" s="18">
        <f>($G24/Assumptions!$E$8+($H24/Assumptions!$E$14-$G24/Assumptions!$E$8)*(K$4-2019)/6)*INDEX(Assumptions!$E$5:$E$14,MATCH(K$4,Assumptions!$A$5:$A$14,0))</f>
        <v>2567263.7227034275</v>
      </c>
      <c r="L24" s="18">
        <f>($G24/Assumptions!$E$8+($H24/Assumptions!$E$14-$G24/Assumptions!$E$8)*(L$4-2019)/6)*INDEX(Assumptions!$E$5:$E$14,MATCH(L$4,Assumptions!$A$5:$A$14,0))</f>
        <v>2569081.1735029216</v>
      </c>
      <c r="M24" s="18">
        <f>($G24/Assumptions!$E$8+($H24/Assumptions!$E$14-$G24/Assumptions!$E$8)*(M$4-2019)/6)*INDEX(Assumptions!$E$5:$E$14,MATCH(M$4,Assumptions!$A$5:$A$14,0))</f>
        <v>2577677.6569568519</v>
      </c>
      <c r="N24" s="18">
        <f>($G24/Assumptions!$E$8+($H24/Assumptions!$E$14-$G24/Assumptions!$E$8)*(N$4-2019)/6)*INDEX(Assumptions!$E$5:$E$14,MATCH(N$4,Assumptions!$A$5:$A$14,0))</f>
        <v>2623840.9999999995</v>
      </c>
      <c r="O24" s="18">
        <f>($G24/Assumptions!$E$8+($H24/Assumptions!$E$14-$G24/Assumptions!$E$8)*(O$4-2019)/6)*INDEX(Assumptions!$E$5:$E$14,MATCH(O$4,Assumptions!$A$5:$A$14,0))</f>
        <v>2699212.1082775649</v>
      </c>
      <c r="P24" s="18">
        <f>($G24/Assumptions!$E$8+($H24/Assumptions!$E$14-$G24/Assumptions!$E$8)*(P$4-2019)/6)*INDEX(Assumptions!$E$5:$E$14,MATCH(P$4,Assumptions!$A$5:$A$14,0))</f>
        <v>2869923.5209626141</v>
      </c>
      <c r="Q24" s="18">
        <f>($G24/Assumptions!$E$8+($H24/Assumptions!$E$14-$G24/Assumptions!$E$8)*(Q$4-2019)/6)*INDEX(Assumptions!$E$5:$E$14,MATCH(Q$4,Assumptions!$A$5:$A$14,0))</f>
        <v>3158557.839035064</v>
      </c>
      <c r="R24" s="18">
        <f>($G24/Assumptions!$E$8+($H24/Assumptions!$E$14-$G24/Assumptions!$E$8)*(R$4-2019)/6)*INDEX(Assumptions!$E$5:$E$14,MATCH(R$4,Assumptions!$A$5:$A$14,0))</f>
        <v>3196478.6983248866</v>
      </c>
      <c r="S24" s="18">
        <f>($G24/Assumptions!$E$8+($H24/Assumptions!$E$14-$G24/Assumptions!$E$8)*(S$4-2019)/6)*INDEX(Assumptions!$E$5:$E$14,MATCH(S$4,Assumptions!$A$5:$A$14,0))</f>
        <v>3098239.4422552236</v>
      </c>
      <c r="T24" s="18">
        <f>($G24/Assumptions!$E$8+($H24/Assumptions!$E$14-$G24/Assumptions!$E$8)*(T$4-2019)/6)*INDEX(Assumptions!$E$5:$E$14,MATCH(T$4,Assumptions!$A$5:$A$14,0))</f>
        <v>3047118</v>
      </c>
    </row>
    <row r="25" spans="1:20">
      <c r="A25" s="3" t="s">
        <v>114</v>
      </c>
      <c r="B25" s="3" t="s">
        <v>94</v>
      </c>
      <c r="C25" s="14">
        <v>52253701</v>
      </c>
      <c r="D25" s="14">
        <v>79728774</v>
      </c>
      <c r="E25" s="14">
        <v>58155087</v>
      </c>
      <c r="F25" s="14">
        <v>77572226</v>
      </c>
      <c r="G25" s="15">
        <f>C25+E25</f>
        <v>110408788</v>
      </c>
      <c r="H25" s="15">
        <f>D25+F25</f>
        <v>157301000</v>
      </c>
      <c r="I25" s="10">
        <f>IFERROR((D25/C25)^(1/6)-1,0)</f>
        <v>7.2958698652757281E-2</v>
      </c>
      <c r="J25" s="10">
        <f>IFERROR((H25/G25)^(1/6)-1,0)</f>
        <v>6.077019061321387E-2</v>
      </c>
      <c r="K25" s="15">
        <f>($G25/Assumptions!$E$8+($H25/Assumptions!$E$14-$G25/Assumptions!$E$8)*(K$4-2019)/6)*INDEX(Assumptions!$E$5:$E$14,MATCH(K$4,Assumptions!$A$5:$A$14,0))</f>
        <v>97991992.506821588</v>
      </c>
      <c r="L25" s="15">
        <f>($G25/Assumptions!$E$8+($H25/Assumptions!$E$14-$G25/Assumptions!$E$8)*(L$4-2019)/6)*INDEX(Assumptions!$E$5:$E$14,MATCH(L$4,Assumptions!$A$5:$A$14,0))</f>
        <v>101271846.94145602</v>
      </c>
      <c r="M25" s="15">
        <f>($G25/Assumptions!$E$8+($H25/Assumptions!$E$14-$G25/Assumptions!$E$8)*(M$4-2019)/6)*INDEX(Assumptions!$E$5:$E$14,MATCH(M$4,Assumptions!$A$5:$A$14,0))</f>
        <v>104966763.11313325</v>
      </c>
      <c r="N25" s="15">
        <f>($G25/Assumptions!$E$8+($H25/Assumptions!$E$14-$G25/Assumptions!$E$8)*(N$4-2019)/6)*INDEX(Assumptions!$E$5:$E$14,MATCH(N$4,Assumptions!$A$5:$A$14,0))</f>
        <v>110408788</v>
      </c>
      <c r="O25" s="15">
        <f>($G25/Assumptions!$E$8+($H25/Assumptions!$E$14-$G25/Assumptions!$E$8)*(O$4-2019)/6)*INDEX(Assumptions!$E$5:$E$14,MATCH(O$4,Assumptions!$A$5:$A$14,0))</f>
        <v>117404921.57772863</v>
      </c>
      <c r="P25" s="15">
        <f>($G25/Assumptions!$E$8+($H25/Assumptions!$E$14-$G25/Assumptions!$E$8)*(P$4-2019)/6)*INDEX(Assumptions!$E$5:$E$14,MATCH(P$4,Assumptions!$A$5:$A$14,0))</f>
        <v>129078257.98228659</v>
      </c>
      <c r="Q25" s="15">
        <f>($G25/Assumptions!$E$8+($H25/Assumptions!$E$14-$G25/Assumptions!$E$8)*(Q$4-2019)/6)*INDEX(Assumptions!$E$5:$E$14,MATCH(Q$4,Assumptions!$A$5:$A$14,0))</f>
        <v>146948802.416078</v>
      </c>
      <c r="R25" s="15">
        <f>($G25/Assumptions!$E$8+($H25/Assumptions!$E$14-$G25/Assumptions!$E$8)*(R$4-2019)/6)*INDEX(Assumptions!$E$5:$E$14,MATCH(R$4,Assumptions!$A$5:$A$14,0))</f>
        <v>153891873.11347672</v>
      </c>
      <c r="S25" s="15">
        <f>($G25/Assumptions!$E$8+($H25/Assumptions!$E$14-$G25/Assumptions!$E$8)*(S$4-2019)/6)*INDEX(Assumptions!$E$5:$E$14,MATCH(S$4,Assumptions!$A$5:$A$14,0))</f>
        <v>154422162.12266761</v>
      </c>
      <c r="T25" s="15">
        <f>($G25/Assumptions!$E$8+($H25/Assumptions!$E$14-$G25/Assumptions!$E$8)*(T$4-2019)/6)*INDEX(Assumptions!$E$5:$E$14,MATCH(T$4,Assumptions!$A$5:$A$14,0))</f>
        <v>157301000</v>
      </c>
    </row>
    <row r="26" spans="1:20">
      <c r="A26" s="16" t="s">
        <v>115</v>
      </c>
      <c r="B26" s="16" t="s">
        <v>94</v>
      </c>
      <c r="C26" s="17">
        <v>1143253</v>
      </c>
      <c r="D26" s="17">
        <v>2113010</v>
      </c>
      <c r="E26" s="17">
        <v>2232184</v>
      </c>
      <c r="F26" s="17">
        <v>2588618</v>
      </c>
      <c r="G26" s="18">
        <f>C26+E26</f>
        <v>3375437</v>
      </c>
      <c r="H26" s="18">
        <f>D26+F26</f>
        <v>4701628</v>
      </c>
      <c r="I26" s="19">
        <f>IFERROR((D26/C26)^(1/6)-1,0)</f>
        <v>0.10779618989067807</v>
      </c>
      <c r="J26" s="19">
        <f>IFERROR((H26/G26)^(1/6)-1,0)</f>
        <v>5.678435752741029E-2</v>
      </c>
      <c r="K26" s="18">
        <f>($G26/Assumptions!$E$8+($H26/Assumptions!$E$14-$G26/Assumptions!$E$8)*(K$4-2019)/6)*INDEX(Assumptions!$E$5:$E$14,MATCH(K$4,Assumptions!$A$5:$A$14,0))</f>
        <v>3032895.0270819357</v>
      </c>
      <c r="L26" s="18">
        <f>($G26/Assumptions!$E$8+($H26/Assumptions!$E$14-$G26/Assumptions!$E$8)*(L$4-2019)/6)*INDEX(Assumptions!$E$5:$E$14,MATCH(L$4,Assumptions!$A$5:$A$14,0))</f>
        <v>3121336.2005052944</v>
      </c>
      <c r="M26" s="18">
        <f>($G26/Assumptions!$E$8+($H26/Assumptions!$E$14-$G26/Assumptions!$E$8)*(M$4-2019)/6)*INDEX(Assumptions!$E$5:$E$14,MATCH(M$4,Assumptions!$A$5:$A$14,0))</f>
        <v>3221987.2976931175</v>
      </c>
      <c r="N26" s="18">
        <f>($G26/Assumptions!$E$8+($H26/Assumptions!$E$14-$G26/Assumptions!$E$8)*(N$4-2019)/6)*INDEX(Assumptions!$E$5:$E$14,MATCH(N$4,Assumptions!$A$5:$A$14,0))</f>
        <v>3375437</v>
      </c>
      <c r="O26" s="18">
        <f>($G26/Assumptions!$E$8+($H26/Assumptions!$E$14-$G26/Assumptions!$E$8)*(O$4-2019)/6)*INDEX(Assumptions!$E$5:$E$14,MATCH(O$4,Assumptions!$A$5:$A$14,0))</f>
        <v>3575198.5873925998</v>
      </c>
      <c r="P26" s="18">
        <f>($G26/Assumptions!$E$8+($H26/Assumptions!$E$14-$G26/Assumptions!$E$8)*(P$4-2019)/6)*INDEX(Assumptions!$E$5:$E$14,MATCH(P$4,Assumptions!$A$5:$A$14,0))</f>
        <v>3915495.0135287601</v>
      </c>
      <c r="Q26" s="18">
        <f>($G26/Assumptions!$E$8+($H26/Assumptions!$E$14-$G26/Assumptions!$E$8)*(Q$4-2019)/6)*INDEX(Assumptions!$E$5:$E$14,MATCH(Q$4,Assumptions!$A$5:$A$14,0))</f>
        <v>4440691.8728726516</v>
      </c>
      <c r="R26" s="18">
        <f>($G26/Assumptions!$E$8+($H26/Assumptions!$E$14-$G26/Assumptions!$E$8)*(R$4-2019)/6)*INDEX(Assumptions!$E$5:$E$14,MATCH(R$4,Assumptions!$A$5:$A$14,0))</f>
        <v>4633206.9842375265</v>
      </c>
      <c r="S26" s="18">
        <f>($G26/Assumptions!$E$8+($H26/Assumptions!$E$14-$G26/Assumptions!$E$8)*(S$4-2019)/6)*INDEX(Assumptions!$E$5:$E$14,MATCH(S$4,Assumptions!$A$5:$A$14,0))</f>
        <v>4632193.0142768286</v>
      </c>
      <c r="T26" s="18">
        <f>($G26/Assumptions!$E$8+($H26/Assumptions!$E$14-$G26/Assumptions!$E$8)*(T$4-2019)/6)*INDEX(Assumptions!$E$5:$E$14,MATCH(T$4,Assumptions!$A$5:$A$14,0))</f>
        <v>4701628</v>
      </c>
    </row>
    <row r="27" spans="1:20">
      <c r="A27" s="3" t="s">
        <v>116</v>
      </c>
      <c r="B27" s="3" t="s">
        <v>94</v>
      </c>
      <c r="C27" s="14">
        <v>177908</v>
      </c>
      <c r="D27" s="14">
        <v>320926</v>
      </c>
      <c r="E27" s="14">
        <v>736719</v>
      </c>
      <c r="F27" s="14">
        <v>763446</v>
      </c>
      <c r="G27" s="15">
        <f>C27+E27</f>
        <v>914627</v>
      </c>
      <c r="H27" s="15">
        <f>D27+F27</f>
        <v>1084372</v>
      </c>
      <c r="I27" s="10">
        <f>IFERROR((D27/C27)^(1/6)-1,0)</f>
        <v>0.10332020372443762</v>
      </c>
      <c r="J27" s="10">
        <f>IFERROR((H27/G27)^(1/6)-1,0)</f>
        <v>2.877968442922807E-2</v>
      </c>
      <c r="K27" s="15">
        <f>($G27/Assumptions!$E$8+($H27/Assumptions!$E$14-$G27/Assumptions!$E$8)*(K$4-2019)/6)*INDEX(Assumptions!$E$5:$E$14,MATCH(K$4,Assumptions!$A$5:$A$14,0))</f>
        <v>887244.53069896775</v>
      </c>
      <c r="L27" s="15">
        <f>($G27/Assumptions!$E$8+($H27/Assumptions!$E$14-$G27/Assumptions!$E$8)*(L$4-2019)/6)*INDEX(Assumptions!$E$5:$E$14,MATCH(L$4,Assumptions!$A$5:$A$14,0))</f>
        <v>890323.21512715588</v>
      </c>
      <c r="M27" s="15">
        <f>($G27/Assumptions!$E$8+($H27/Assumptions!$E$14-$G27/Assumptions!$E$8)*(M$4-2019)/6)*INDEX(Assumptions!$E$5:$E$14,MATCH(M$4,Assumptions!$A$5:$A$14,0))</f>
        <v>895864.03845453868</v>
      </c>
      <c r="N27" s="15">
        <f>($G27/Assumptions!$E$8+($H27/Assumptions!$E$14-$G27/Assumptions!$E$8)*(N$4-2019)/6)*INDEX(Assumptions!$E$5:$E$14,MATCH(N$4,Assumptions!$A$5:$A$14,0))</f>
        <v>914627</v>
      </c>
      <c r="O27" s="15">
        <f>($G27/Assumptions!$E$8+($H27/Assumptions!$E$14-$G27/Assumptions!$E$8)*(O$4-2019)/6)*INDEX(Assumptions!$E$5:$E$14,MATCH(O$4,Assumptions!$A$5:$A$14,0))</f>
        <v>943819.42866469978</v>
      </c>
      <c r="P27" s="15">
        <f>($G27/Assumptions!$E$8+($H27/Assumptions!$E$14-$G27/Assumptions!$E$8)*(P$4-2019)/6)*INDEX(Assumptions!$E$5:$E$14,MATCH(P$4,Assumptions!$A$5:$A$14,0))</f>
        <v>1006753.7704903174</v>
      </c>
      <c r="Q27" s="15">
        <f>($G27/Assumptions!$E$8+($H27/Assumptions!$E$14-$G27/Assumptions!$E$8)*(Q$4-2019)/6)*INDEX(Assumptions!$E$5:$E$14,MATCH(Q$4,Assumptions!$A$5:$A$14,0))</f>
        <v>1111736.834532426</v>
      </c>
      <c r="R27" s="15">
        <f>($G27/Assumptions!$E$8+($H27/Assumptions!$E$14-$G27/Assumptions!$E$8)*(R$4-2019)/6)*INDEX(Assumptions!$E$5:$E$14,MATCH(R$4,Assumptions!$A$5:$A$14,0))</f>
        <v>1129037.1002509557</v>
      </c>
      <c r="S27" s="15">
        <f>($G27/Assumptions!$E$8+($H27/Assumptions!$E$14-$G27/Assumptions!$E$8)*(S$4-2019)/6)*INDEX(Assumptions!$E$5:$E$14,MATCH(S$4,Assumptions!$A$5:$A$14,0))</f>
        <v>1098352.6730077947</v>
      </c>
      <c r="T27" s="15">
        <f>($G27/Assumptions!$E$8+($H27/Assumptions!$E$14-$G27/Assumptions!$E$8)*(T$4-2019)/6)*INDEX(Assumptions!$E$5:$E$14,MATCH(T$4,Assumptions!$A$5:$A$14,0))</f>
        <v>1084372</v>
      </c>
    </row>
    <row r="28" spans="1:20">
      <c r="A28" s="16" t="s">
        <v>117</v>
      </c>
      <c r="B28" s="16" t="s">
        <v>94</v>
      </c>
      <c r="C28" s="17">
        <v>8254625</v>
      </c>
      <c r="D28" s="17">
        <v>12264416</v>
      </c>
      <c r="E28" s="17">
        <v>8582813</v>
      </c>
      <c r="F28" s="17">
        <v>10958707</v>
      </c>
      <c r="G28" s="18">
        <f>C28+E28</f>
        <v>16837438</v>
      </c>
      <c r="H28" s="18">
        <f>D28+F28</f>
        <v>23223123</v>
      </c>
      <c r="I28" s="19">
        <f>IFERROR((D28/C28)^(1/6)-1,0)</f>
        <v>6.8213971888191782E-2</v>
      </c>
      <c r="J28" s="19">
        <f>IFERROR((H28/G28)^(1/6)-1,0)</f>
        <v>5.5052575882675425E-2</v>
      </c>
      <c r="K28" s="18">
        <f>($G28/Assumptions!$E$8+($H28/Assumptions!$E$14-$G28/Assumptions!$E$8)*(K$4-2019)/6)*INDEX(Assumptions!$E$5:$E$14,MATCH(K$4,Assumptions!$A$5:$A$14,0))</f>
        <v>15208016.619242625</v>
      </c>
      <c r="L28" s="18">
        <f>($G28/Assumptions!$E$8+($H28/Assumptions!$E$14-$G28/Assumptions!$E$8)*(L$4-2019)/6)*INDEX(Assumptions!$E$5:$E$14,MATCH(L$4,Assumptions!$A$5:$A$14,0))</f>
        <v>15623883.974418927</v>
      </c>
      <c r="M28" s="18">
        <f>($G28/Assumptions!$E$8+($H28/Assumptions!$E$14-$G28/Assumptions!$E$8)*(M$4-2019)/6)*INDEX(Assumptions!$E$5:$E$14,MATCH(M$4,Assumptions!$A$5:$A$14,0))</f>
        <v>16099632.090946233</v>
      </c>
      <c r="N28" s="18">
        <f>($G28/Assumptions!$E$8+($H28/Assumptions!$E$14-$G28/Assumptions!$E$8)*(N$4-2019)/6)*INDEX(Assumptions!$E$5:$E$14,MATCH(N$4,Assumptions!$A$5:$A$14,0))</f>
        <v>16837438</v>
      </c>
      <c r="O28" s="18">
        <f>($G28/Assumptions!$E$8+($H28/Assumptions!$E$14-$G28/Assumptions!$E$8)*(O$4-2019)/6)*INDEX(Assumptions!$E$5:$E$14,MATCH(O$4,Assumptions!$A$5:$A$14,0))</f>
        <v>17803690.891794536</v>
      </c>
      <c r="P28" s="18">
        <f>($G28/Assumptions!$E$8+($H28/Assumptions!$E$14-$G28/Assumptions!$E$8)*(P$4-2019)/6)*INDEX(Assumptions!$E$5:$E$14,MATCH(P$4,Assumptions!$A$5:$A$14,0))</f>
        <v>19465708.687300112</v>
      </c>
      <c r="Q28" s="18">
        <f>($G28/Assumptions!$E$8+($H28/Assumptions!$E$14-$G28/Assumptions!$E$8)*(Q$4-2019)/6)*INDEX(Assumptions!$E$5:$E$14,MATCH(Q$4,Assumptions!$A$5:$A$14,0))</f>
        <v>22040297.61731616</v>
      </c>
      <c r="R28" s="18">
        <f>($G28/Assumptions!$E$8+($H28/Assumptions!$E$14-$G28/Assumptions!$E$8)*(R$4-2019)/6)*INDEX(Assumptions!$E$5:$E$14,MATCH(R$4,Assumptions!$A$5:$A$14,0))</f>
        <v>22958377.833176006</v>
      </c>
      <c r="S28" s="18">
        <f>($G28/Assumptions!$E$8+($H28/Assumptions!$E$14-$G28/Assumptions!$E$8)*(S$4-2019)/6)*INDEX(Assumptions!$E$5:$E$14,MATCH(S$4,Assumptions!$A$5:$A$14,0))</f>
        <v>22916487.466872238</v>
      </c>
      <c r="T28" s="18">
        <f>($G28/Assumptions!$E$8+($H28/Assumptions!$E$14-$G28/Assumptions!$E$8)*(T$4-2019)/6)*INDEX(Assumptions!$E$5:$E$14,MATCH(T$4,Assumptions!$A$5:$A$14,0))</f>
        <v>23223123</v>
      </c>
    </row>
    <row r="29" spans="1:20">
      <c r="A29" s="3" t="s">
        <v>118</v>
      </c>
      <c r="B29" s="3" t="s">
        <v>94</v>
      </c>
      <c r="C29" s="14">
        <v>535600</v>
      </c>
      <c r="D29" s="14">
        <v>816959</v>
      </c>
      <c r="E29" s="14">
        <v>1444882</v>
      </c>
      <c r="F29" s="14">
        <v>1658289</v>
      </c>
      <c r="G29" s="15">
        <f>C29+E29</f>
        <v>1980482</v>
      </c>
      <c r="H29" s="15">
        <f>D29+F29</f>
        <v>2475248</v>
      </c>
      <c r="I29" s="10">
        <f>IFERROR((D29/C29)^(1/6)-1,0)</f>
        <v>7.2901738139075523E-2</v>
      </c>
      <c r="J29" s="10">
        <f>IFERROR((H29/G29)^(1/6)-1,0)</f>
        <v>3.7866043522675419E-2</v>
      </c>
      <c r="K29" s="15">
        <f>($G29/Assumptions!$E$8+($H29/Assumptions!$E$14-$G29/Assumptions!$E$8)*(K$4-2019)/6)*INDEX(Assumptions!$E$5:$E$14,MATCH(K$4,Assumptions!$A$5:$A$14,0))</f>
        <v>1877288.6591112609</v>
      </c>
      <c r="L29" s="15">
        <f>($G29/Assumptions!$E$8+($H29/Assumptions!$E$14-$G29/Assumptions!$E$8)*(L$4-2019)/6)*INDEX(Assumptions!$E$5:$E$14,MATCH(L$4,Assumptions!$A$5:$A$14,0))</f>
        <v>1897967.6272851347</v>
      </c>
      <c r="M29" s="15">
        <f>($G29/Assumptions!$E$8+($H29/Assumptions!$E$14-$G29/Assumptions!$E$8)*(M$4-2019)/6)*INDEX(Assumptions!$E$5:$E$14,MATCH(M$4,Assumptions!$A$5:$A$14,0))</f>
        <v>1924545.7857326008</v>
      </c>
      <c r="N29" s="15">
        <f>($G29/Assumptions!$E$8+($H29/Assumptions!$E$14-$G29/Assumptions!$E$8)*(N$4-2019)/6)*INDEX(Assumptions!$E$5:$E$14,MATCH(N$4,Assumptions!$A$5:$A$14,0))</f>
        <v>1980482</v>
      </c>
      <c r="O29" s="15">
        <f>($G29/Assumptions!$E$8+($H29/Assumptions!$E$14-$G29/Assumptions!$E$8)*(O$4-2019)/6)*INDEX(Assumptions!$E$5:$E$14,MATCH(O$4,Assumptions!$A$5:$A$14,0))</f>
        <v>2060423.5668579952</v>
      </c>
      <c r="P29" s="15">
        <f>($G29/Assumptions!$E$8+($H29/Assumptions!$E$14-$G29/Assumptions!$E$8)*(P$4-2019)/6)*INDEX(Assumptions!$E$5:$E$14,MATCH(P$4,Assumptions!$A$5:$A$14,0))</f>
        <v>2216338.518981494</v>
      </c>
      <c r="Q29" s="15">
        <f>($G29/Assumptions!$E$8+($H29/Assumptions!$E$14-$G29/Assumptions!$E$8)*(Q$4-2019)/6)*INDEX(Assumptions!$E$5:$E$14,MATCH(Q$4,Assumptions!$A$5:$A$14,0))</f>
        <v>2468706.2176842727</v>
      </c>
      <c r="R29" s="15">
        <f>($G29/Assumptions!$E$8+($H29/Assumptions!$E$14-$G29/Assumptions!$E$8)*(R$4-2019)/6)*INDEX(Assumptions!$E$5:$E$14,MATCH(R$4,Assumptions!$A$5:$A$14,0))</f>
        <v>2529558.3948275475</v>
      </c>
      <c r="S29" s="15">
        <f>($G29/Assumptions!$E$8+($H29/Assumptions!$E$14-$G29/Assumptions!$E$8)*(S$4-2019)/6)*INDEX(Assumptions!$E$5:$E$14,MATCH(S$4,Assumptions!$A$5:$A$14,0))</f>
        <v>2483518.2862067521</v>
      </c>
      <c r="T29" s="15">
        <f>($G29/Assumptions!$E$8+($H29/Assumptions!$E$14-$G29/Assumptions!$E$8)*(T$4-2019)/6)*INDEX(Assumptions!$E$5:$E$14,MATCH(T$4,Assumptions!$A$5:$A$14,0))</f>
        <v>2475248</v>
      </c>
    </row>
    <row r="30" spans="1:20">
      <c r="A30" s="16" t="s">
        <v>119</v>
      </c>
      <c r="B30" s="16" t="s">
        <v>94</v>
      </c>
      <c r="C30" s="17">
        <v>754936</v>
      </c>
      <c r="D30" s="17">
        <v>1127255</v>
      </c>
      <c r="E30" s="17">
        <v>2130202</v>
      </c>
      <c r="F30" s="17">
        <v>2318151</v>
      </c>
      <c r="G30" s="18">
        <f>C30+E30</f>
        <v>2885138</v>
      </c>
      <c r="H30" s="18">
        <f>D30+F30</f>
        <v>3445406</v>
      </c>
      <c r="I30" s="19">
        <f>IFERROR((D30/C30)^(1/6)-1,0)</f>
        <v>6.9100844089827529E-2</v>
      </c>
      <c r="J30" s="19">
        <f>IFERROR((H30/G30)^(1/6)-1,0)</f>
        <v>3.001994847671785E-2</v>
      </c>
      <c r="K30" s="18">
        <f>($G30/Assumptions!$E$8+($H30/Assumptions!$E$14-$G30/Assumptions!$E$8)*(K$4-2019)/6)*INDEX(Assumptions!$E$5:$E$14,MATCH(K$4,Assumptions!$A$5:$A$14,0))</f>
        <v>2790197.0061646542</v>
      </c>
      <c r="L30" s="18">
        <f>($G30/Assumptions!$E$8+($H30/Assumptions!$E$14-$G30/Assumptions!$E$8)*(L$4-2019)/6)*INDEX(Assumptions!$E$5:$E$14,MATCH(L$4,Assumptions!$A$5:$A$14,0))</f>
        <v>2802642.2337413826</v>
      </c>
      <c r="M30" s="18">
        <f>($G30/Assumptions!$E$8+($H30/Assumptions!$E$14-$G30/Assumptions!$E$8)*(M$4-2019)/6)*INDEX(Assumptions!$E$5:$E$14,MATCH(M$4,Assumptions!$A$5:$A$14,0))</f>
        <v>2822964.9101682394</v>
      </c>
      <c r="N30" s="18">
        <f>($G30/Assumptions!$E$8+($H30/Assumptions!$E$14-$G30/Assumptions!$E$8)*(N$4-2019)/6)*INDEX(Assumptions!$E$5:$E$14,MATCH(N$4,Assumptions!$A$5:$A$14,0))</f>
        <v>2885138</v>
      </c>
      <c r="O30" s="18">
        <f>($G30/Assumptions!$E$8+($H30/Assumptions!$E$14-$G30/Assumptions!$E$8)*(O$4-2019)/6)*INDEX(Assumptions!$E$5:$E$14,MATCH(O$4,Assumptions!$A$5:$A$14,0))</f>
        <v>2980487.6515465565</v>
      </c>
      <c r="P30" s="18">
        <f>($G30/Assumptions!$E$8+($H30/Assumptions!$E$14-$G30/Assumptions!$E$8)*(P$4-2019)/6)*INDEX(Assumptions!$E$5:$E$14,MATCH(P$4,Assumptions!$A$5:$A$14,0))</f>
        <v>3182842.0317755719</v>
      </c>
      <c r="Q30" s="18">
        <f>($G30/Assumptions!$E$8+($H30/Assumptions!$E$14-$G30/Assumptions!$E$8)*(Q$4-2019)/6)*INDEX(Assumptions!$E$5:$E$14,MATCH(Q$4,Assumptions!$A$5:$A$14,0))</f>
        <v>3518890.702691922</v>
      </c>
      <c r="R30" s="18">
        <f>($G30/Assumptions!$E$8+($H30/Assumptions!$E$14-$G30/Assumptions!$E$8)*(R$4-2019)/6)*INDEX(Assumptions!$E$5:$E$14,MATCH(R$4,Assumptions!$A$5:$A$14,0))</f>
        <v>3578026.7467647768</v>
      </c>
      <c r="S30" s="18">
        <f>($G30/Assumptions!$E$8+($H30/Assumptions!$E$14-$G30/Assumptions!$E$8)*(S$4-2019)/6)*INDEX(Assumptions!$E$5:$E$14,MATCH(S$4,Assumptions!$A$5:$A$14,0))</f>
        <v>3485214.7447339636</v>
      </c>
      <c r="T30" s="18">
        <f>($G30/Assumptions!$E$8+($H30/Assumptions!$E$14-$G30/Assumptions!$E$8)*(T$4-2019)/6)*INDEX(Assumptions!$E$5:$E$14,MATCH(T$4,Assumptions!$A$5:$A$14,0))</f>
        <v>3445406</v>
      </c>
    </row>
    <row r="31" spans="1:20">
      <c r="A31" s="3" t="s">
        <v>120</v>
      </c>
      <c r="B31" s="3" t="s">
        <v>94</v>
      </c>
      <c r="C31" s="14">
        <v>1937984</v>
      </c>
      <c r="D31" s="14">
        <v>3582324</v>
      </c>
      <c r="E31" s="14">
        <v>4139657</v>
      </c>
      <c r="F31" s="14">
        <v>5069817</v>
      </c>
      <c r="G31" s="15">
        <f>C31+E31</f>
        <v>6077641</v>
      </c>
      <c r="H31" s="15">
        <f>D31+F31</f>
        <v>8652141</v>
      </c>
      <c r="I31" s="10">
        <f>IFERROR((D31/C31)^(1/6)-1,0)</f>
        <v>0.10781977341083793</v>
      </c>
      <c r="J31" s="10">
        <f>IFERROR((H31/G31)^(1/6)-1,0)</f>
        <v>6.0632077125553741E-2</v>
      </c>
      <c r="K31" s="15">
        <f>($G31/Assumptions!$E$8+($H31/Assumptions!$E$14-$G31/Assumptions!$E$8)*(K$4-2019)/6)*INDEX(Assumptions!$E$5:$E$14,MATCH(K$4,Assumptions!$A$5:$A$14,0))</f>
        <v>5396470.8828875963</v>
      </c>
      <c r="L31" s="15">
        <f>($G31/Assumptions!$E$8+($H31/Assumptions!$E$14-$G31/Assumptions!$E$8)*(L$4-2019)/6)*INDEX(Assumptions!$E$5:$E$14,MATCH(L$4,Assumptions!$A$5:$A$14,0))</f>
        <v>5576271.2153135166</v>
      </c>
      <c r="M31" s="15">
        <f>($G31/Assumptions!$E$8+($H31/Assumptions!$E$14-$G31/Assumptions!$E$8)*(M$4-2019)/6)*INDEX(Assumptions!$E$5:$E$14,MATCH(M$4,Assumptions!$A$5:$A$14,0))</f>
        <v>5778889.1488572787</v>
      </c>
      <c r="N31" s="15">
        <f>($G31/Assumptions!$E$8+($H31/Assumptions!$E$14-$G31/Assumptions!$E$8)*(N$4-2019)/6)*INDEX(Assumptions!$E$5:$E$14,MATCH(N$4,Assumptions!$A$5:$A$14,0))</f>
        <v>6077641</v>
      </c>
      <c r="O31" s="15">
        <f>($G31/Assumptions!$E$8+($H31/Assumptions!$E$14-$G31/Assumptions!$E$8)*(O$4-2019)/6)*INDEX(Assumptions!$E$5:$E$14,MATCH(O$4,Assumptions!$A$5:$A$14,0))</f>
        <v>6461865.839279579</v>
      </c>
      <c r="P31" s="15">
        <f>($G31/Assumptions!$E$8+($H31/Assumptions!$E$14-$G31/Assumptions!$E$8)*(P$4-2019)/6)*INDEX(Assumptions!$E$5:$E$14,MATCH(P$4,Assumptions!$A$5:$A$14,0))</f>
        <v>7103400.6079165889</v>
      </c>
      <c r="Q31" s="15">
        <f>($G31/Assumptions!$E$8+($H31/Assumptions!$E$14-$G31/Assumptions!$E$8)*(Q$4-2019)/6)*INDEX(Assumptions!$E$5:$E$14,MATCH(Q$4,Assumptions!$A$5:$A$14,0))</f>
        <v>8085784.1145773949</v>
      </c>
      <c r="R31" s="15">
        <f>($G31/Assumptions!$E$8+($H31/Assumptions!$E$14-$G31/Assumptions!$E$8)*(R$4-2019)/6)*INDEX(Assumptions!$E$5:$E$14,MATCH(R$4,Assumptions!$A$5:$A$14,0))</f>
        <v>8466733.9198923055</v>
      </c>
      <c r="S31" s="15">
        <f>($G31/Assumptions!$E$8+($H31/Assumptions!$E$14-$G31/Assumptions!$E$8)*(S$4-2019)/6)*INDEX(Assumptions!$E$5:$E$14,MATCH(S$4,Assumptions!$A$5:$A$14,0))</f>
        <v>8494840.0489952769</v>
      </c>
      <c r="T31" s="15">
        <f>($G31/Assumptions!$E$8+($H31/Assumptions!$E$14-$G31/Assumptions!$E$8)*(T$4-2019)/6)*INDEX(Assumptions!$E$5:$E$14,MATCH(T$4,Assumptions!$A$5:$A$14,0))</f>
        <v>8652141</v>
      </c>
    </row>
    <row r="32" spans="1:20">
      <c r="A32" s="16" t="s">
        <v>121</v>
      </c>
      <c r="B32" s="16" t="s">
        <v>94</v>
      </c>
      <c r="C32" s="17">
        <v>2043601</v>
      </c>
      <c r="D32" s="17">
        <v>2910076</v>
      </c>
      <c r="E32" s="17">
        <v>1498729</v>
      </c>
      <c r="F32" s="17">
        <v>1599783</v>
      </c>
      <c r="G32" s="18">
        <f>C32+E32</f>
        <v>3542330</v>
      </c>
      <c r="H32" s="18">
        <f>D32+F32</f>
        <v>4509859</v>
      </c>
      <c r="I32" s="19">
        <f>IFERROR((D32/C32)^(1/6)-1,0)</f>
        <v>6.0680791727485417E-2</v>
      </c>
      <c r="J32" s="19">
        <f>IFERROR((H32/G32)^(1/6)-1,0)</f>
        <v>4.1067745044670589E-2</v>
      </c>
      <c r="K32" s="18">
        <f>($G32/Assumptions!$E$8+($H32/Assumptions!$E$14-$G32/Assumptions!$E$8)*(K$4-2019)/6)*INDEX(Assumptions!$E$5:$E$14,MATCH(K$4,Assumptions!$A$5:$A$14,0))</f>
        <v>3329257.2321310816</v>
      </c>
      <c r="L32" s="18">
        <f>($G32/Assumptions!$E$8+($H32/Assumptions!$E$14-$G32/Assumptions!$E$8)*(L$4-2019)/6)*INDEX(Assumptions!$E$5:$E$14,MATCH(L$4,Assumptions!$A$5:$A$14,0))</f>
        <v>3375340.5661877333</v>
      </c>
      <c r="M32" s="18">
        <f>($G32/Assumptions!$E$8+($H32/Assumptions!$E$14-$G32/Assumptions!$E$8)*(M$4-2019)/6)*INDEX(Assumptions!$E$5:$E$14,MATCH(M$4,Assumptions!$A$5:$A$14,0))</f>
        <v>3432343.9171567811</v>
      </c>
      <c r="N32" s="18">
        <f>($G32/Assumptions!$E$8+($H32/Assumptions!$E$14-$G32/Assumptions!$E$8)*(N$4-2019)/6)*INDEX(Assumptions!$E$5:$E$14,MATCH(N$4,Assumptions!$A$5:$A$14,0))</f>
        <v>3542330</v>
      </c>
      <c r="O32" s="18">
        <f>($G32/Assumptions!$E$8+($H32/Assumptions!$E$14-$G32/Assumptions!$E$8)*(O$4-2019)/6)*INDEX(Assumptions!$E$5:$E$14,MATCH(O$4,Assumptions!$A$5:$A$14,0))</f>
        <v>3696175.6382843601</v>
      </c>
      <c r="P32" s="18">
        <f>($G32/Assumptions!$E$8+($H32/Assumptions!$E$14-$G32/Assumptions!$E$8)*(P$4-2019)/6)*INDEX(Assumptions!$E$5:$E$14,MATCH(P$4,Assumptions!$A$5:$A$14,0))</f>
        <v>3987798.2350964388</v>
      </c>
      <c r="Q32" s="18">
        <f>($G32/Assumptions!$E$8+($H32/Assumptions!$E$14-$G32/Assumptions!$E$8)*(Q$4-2019)/6)*INDEX(Assumptions!$E$5:$E$14,MATCH(Q$4,Assumptions!$A$5:$A$14,0))</f>
        <v>4455445.4879358225</v>
      </c>
      <c r="R32" s="18">
        <f>($G32/Assumptions!$E$8+($H32/Assumptions!$E$14-$G32/Assumptions!$E$8)*(R$4-2019)/6)*INDEX(Assumptions!$E$5:$E$14,MATCH(R$4,Assumptions!$A$5:$A$14,0))</f>
        <v>4579471.723681624</v>
      </c>
      <c r="S32" s="18">
        <f>($G32/Assumptions!$E$8+($H32/Assumptions!$E$14-$G32/Assumptions!$E$8)*(S$4-2019)/6)*INDEX(Assumptions!$E$5:$E$14,MATCH(S$4,Assumptions!$A$5:$A$14,0))</f>
        <v>4510367.9481506497</v>
      </c>
      <c r="T32" s="18">
        <f>($G32/Assumptions!$E$8+($H32/Assumptions!$E$14-$G32/Assumptions!$E$8)*(T$4-2019)/6)*INDEX(Assumptions!$E$5:$E$14,MATCH(T$4,Assumptions!$A$5:$A$14,0))</f>
        <v>4509859</v>
      </c>
    </row>
    <row r="33" spans="1:20">
      <c r="A33" s="3" t="s">
        <v>122</v>
      </c>
      <c r="B33" s="3" t="s">
        <v>94</v>
      </c>
      <c r="C33" s="14">
        <v>189416588</v>
      </c>
      <c r="D33" s="14">
        <v>254670650</v>
      </c>
      <c r="E33" s="14">
        <v>187996246</v>
      </c>
      <c r="F33" s="14">
        <v>220995485</v>
      </c>
      <c r="G33" s="15">
        <f>C33+E33</f>
        <v>377412834</v>
      </c>
      <c r="H33" s="15">
        <f>D33+F33</f>
        <v>475666135</v>
      </c>
      <c r="I33" s="10">
        <f>IFERROR((D33/C33)^(1/6)-1,0)</f>
        <v>5.0574401699860383E-2</v>
      </c>
      <c r="J33" s="10">
        <f>IFERROR((H33/G33)^(1/6)-1,0)</f>
        <v>3.9315955921967793E-2</v>
      </c>
      <c r="K33" s="15">
        <f>($G33/Assumptions!$E$8+($H33/Assumptions!$E$14-$G33/Assumptions!$E$8)*(K$4-2019)/6)*INDEX(Assumptions!$E$5:$E$14,MATCH(K$4,Assumptions!$A$5:$A$14,0))</f>
        <v>356378415.42330617</v>
      </c>
      <c r="L33" s="15">
        <f>($G33/Assumptions!$E$8+($H33/Assumptions!$E$14-$G33/Assumptions!$E$8)*(L$4-2019)/6)*INDEX(Assumptions!$E$5:$E$14,MATCH(L$4,Assumptions!$A$5:$A$14,0))</f>
        <v>360756176.03208184</v>
      </c>
      <c r="M33" s="15">
        <f>($G33/Assumptions!$E$8+($H33/Assumptions!$E$14-$G33/Assumptions!$E$8)*(M$4-2019)/6)*INDEX(Assumptions!$E$5:$E$14,MATCH(M$4,Assumptions!$A$5:$A$14,0))</f>
        <v>366275832.61379421</v>
      </c>
      <c r="N33" s="15">
        <f>($G33/Assumptions!$E$8+($H33/Assumptions!$E$14-$G33/Assumptions!$E$8)*(N$4-2019)/6)*INDEX(Assumptions!$E$5:$E$14,MATCH(N$4,Assumptions!$A$5:$A$14,0))</f>
        <v>377412834</v>
      </c>
      <c r="O33" s="15">
        <f>($G33/Assumptions!$E$8+($H33/Assumptions!$E$14-$G33/Assumptions!$E$8)*(O$4-2019)/6)*INDEX(Assumptions!$E$5:$E$14,MATCH(O$4,Assumptions!$A$5:$A$14,0))</f>
        <v>393168794.03896421</v>
      </c>
      <c r="P33" s="15">
        <f>($G33/Assumptions!$E$8+($H33/Assumptions!$E$14-$G33/Assumptions!$E$8)*(P$4-2019)/6)*INDEX(Assumptions!$E$5:$E$14,MATCH(P$4,Assumptions!$A$5:$A$14,0))</f>
        <v>423493488.97726232</v>
      </c>
      <c r="Q33" s="15">
        <f>($G33/Assumptions!$E$8+($H33/Assumptions!$E$14-$G33/Assumptions!$E$8)*(Q$4-2019)/6)*INDEX(Assumptions!$E$5:$E$14,MATCH(Q$4,Assumptions!$A$5:$A$14,0))</f>
        <v>472367325.14200407</v>
      </c>
      <c r="R33" s="15">
        <f>($G33/Assumptions!$E$8+($H33/Assumptions!$E$14-$G33/Assumptions!$E$8)*(R$4-2019)/6)*INDEX(Assumptions!$E$5:$E$14,MATCH(R$4,Assumptions!$A$5:$A$14,0))</f>
        <v>484693256.32183516</v>
      </c>
      <c r="S33" s="15">
        <f>($G33/Assumptions!$E$8+($H33/Assumptions!$E$14-$G33/Assumptions!$E$8)*(S$4-2019)/6)*INDEX(Assumptions!$E$5:$E$14,MATCH(S$4,Assumptions!$A$5:$A$14,0))</f>
        <v>476555911.9226349</v>
      </c>
      <c r="T33" s="15">
        <f>($G33/Assumptions!$E$8+($H33/Assumptions!$E$14-$G33/Assumptions!$E$8)*(T$4-2019)/6)*INDEX(Assumptions!$E$5:$E$14,MATCH(T$4,Assumptions!$A$5:$A$14,0))</f>
        <v>475666135</v>
      </c>
    </row>
    <row r="34" spans="1:20">
      <c r="A34" s="16" t="s">
        <v>123</v>
      </c>
      <c r="B34" s="16" t="s">
        <v>94</v>
      </c>
      <c r="C34" s="17">
        <v>10240337</v>
      </c>
      <c r="D34" s="17">
        <v>17368344</v>
      </c>
      <c r="E34" s="17">
        <v>11607194</v>
      </c>
      <c r="F34" s="17">
        <v>14459432</v>
      </c>
      <c r="G34" s="18">
        <f>C34+E34</f>
        <v>21847531</v>
      </c>
      <c r="H34" s="18">
        <f>D34+F34</f>
        <v>31827776</v>
      </c>
      <c r="I34" s="19">
        <f>IFERROR((D34/C34)^(1/6)-1,0)</f>
        <v>9.2045400071731898E-2</v>
      </c>
      <c r="J34" s="19">
        <f>IFERROR((H34/G34)^(1/6)-1,0)</f>
        <v>6.4716509044377091E-2</v>
      </c>
      <c r="K34" s="18">
        <f>($G34/Assumptions!$E$8+($H34/Assumptions!$E$14-$G34/Assumptions!$E$8)*(K$4-2019)/6)*INDEX(Assumptions!$E$5:$E$14,MATCH(K$4,Assumptions!$A$5:$A$14,0))</f>
        <v>19148496.599588536</v>
      </c>
      <c r="L34" s="18">
        <f>($G34/Assumptions!$E$8+($H34/Assumptions!$E$14-$G34/Assumptions!$E$8)*(L$4-2019)/6)*INDEX(Assumptions!$E$5:$E$14,MATCH(L$4,Assumptions!$A$5:$A$14,0))</f>
        <v>19874757.914999459</v>
      </c>
      <c r="M34" s="18">
        <f>($G34/Assumptions!$E$8+($H34/Assumptions!$E$14-$G34/Assumptions!$E$8)*(M$4-2019)/6)*INDEX(Assumptions!$E$5:$E$14,MATCH(M$4,Assumptions!$A$5:$A$14,0))</f>
        <v>20686281.285843395</v>
      </c>
      <c r="N34" s="18">
        <f>($G34/Assumptions!$E$8+($H34/Assumptions!$E$14-$G34/Assumptions!$E$8)*(N$4-2019)/6)*INDEX(Assumptions!$E$5:$E$14,MATCH(N$4,Assumptions!$A$5:$A$14,0))</f>
        <v>21847531</v>
      </c>
      <c r="O34" s="18">
        <f>($G34/Assumptions!$E$8+($H34/Assumptions!$E$14-$G34/Assumptions!$E$8)*(O$4-2019)/6)*INDEX(Assumptions!$E$5:$E$14,MATCH(O$4,Assumptions!$A$5:$A$14,0))</f>
        <v>23324144.528310139</v>
      </c>
      <c r="P34" s="18">
        <f>($G34/Assumptions!$E$8+($H34/Assumptions!$E$14-$G34/Assumptions!$E$8)*(P$4-2019)/6)*INDEX(Assumptions!$E$5:$E$14,MATCH(P$4,Assumptions!$A$5:$A$14,0))</f>
        <v>25742321.405286085</v>
      </c>
      <c r="Q34" s="18">
        <f>($G34/Assumptions!$E$8+($H34/Assumptions!$E$14-$G34/Assumptions!$E$8)*(Q$4-2019)/6)*INDEX(Assumptions!$E$5:$E$14,MATCH(Q$4,Assumptions!$A$5:$A$14,0))</f>
        <v>29416577.413178559</v>
      </c>
      <c r="R34" s="18">
        <f>($G34/Assumptions!$E$8+($H34/Assumptions!$E$14-$G34/Assumptions!$E$8)*(R$4-2019)/6)*INDEX(Assumptions!$E$5:$E$14,MATCH(R$4,Assumptions!$A$5:$A$14,0))</f>
        <v>30919413.001127534</v>
      </c>
      <c r="S34" s="18">
        <f>($G34/Assumptions!$E$8+($H34/Assumptions!$E$14-$G34/Assumptions!$E$8)*(S$4-2019)/6)*INDEX(Assumptions!$E$5:$E$14,MATCH(S$4,Assumptions!$A$5:$A$14,0))</f>
        <v>31136819.294058125</v>
      </c>
      <c r="T34" s="18">
        <f>($G34/Assumptions!$E$8+($H34/Assumptions!$E$14-$G34/Assumptions!$E$8)*(T$4-2019)/6)*INDEX(Assumptions!$E$5:$E$14,MATCH(T$4,Assumptions!$A$5:$A$14,0))</f>
        <v>31827776</v>
      </c>
    </row>
    <row r="35" spans="1:20">
      <c r="A35" s="3" t="s">
        <v>124</v>
      </c>
      <c r="B35" s="3" t="s">
        <v>94</v>
      </c>
      <c r="C35" s="14">
        <v>958475</v>
      </c>
      <c r="D35" s="14">
        <v>1851131</v>
      </c>
      <c r="E35" s="14">
        <v>2233000</v>
      </c>
      <c r="F35" s="14">
        <v>2446671</v>
      </c>
      <c r="G35" s="15">
        <f>C35+E35</f>
        <v>3191475</v>
      </c>
      <c r="H35" s="15">
        <f>D35+F35</f>
        <v>4297802</v>
      </c>
      <c r="I35" s="10">
        <f>IFERROR((D35/C35)^(1/6)-1,0)</f>
        <v>0.1159448373242935</v>
      </c>
      <c r="J35" s="10">
        <f>IFERROR((H35/G35)^(1/6)-1,0)</f>
        <v>5.0854268893580468E-2</v>
      </c>
      <c r="K35" s="15">
        <f>($G35/Assumptions!$E$8+($H35/Assumptions!$E$14-$G35/Assumptions!$E$8)*(K$4-2019)/6)*INDEX(Assumptions!$E$5:$E$14,MATCH(K$4,Assumptions!$A$5:$A$14,0))</f>
        <v>2918534.6143724881</v>
      </c>
      <c r="L35" s="15">
        <f>($G35/Assumptions!$E$8+($H35/Assumptions!$E$14-$G35/Assumptions!$E$8)*(L$4-2019)/6)*INDEX(Assumptions!$E$5:$E$14,MATCH(L$4,Assumptions!$A$5:$A$14,0))</f>
        <v>2985898.6177244238</v>
      </c>
      <c r="M35" s="15">
        <f>($G35/Assumptions!$E$8+($H35/Assumptions!$E$14-$G35/Assumptions!$E$8)*(M$4-2019)/6)*INDEX(Assumptions!$E$5:$E$14,MATCH(M$4,Assumptions!$A$5:$A$14,0))</f>
        <v>3064148.3356773672</v>
      </c>
      <c r="N35" s="15">
        <f>($G35/Assumptions!$E$8+($H35/Assumptions!$E$14-$G35/Assumptions!$E$8)*(N$4-2019)/6)*INDEX(Assumptions!$E$5:$E$14,MATCH(N$4,Assumptions!$A$5:$A$14,0))</f>
        <v>3191474.9999999995</v>
      </c>
      <c r="O35" s="15">
        <f>($G35/Assumptions!$E$8+($H35/Assumptions!$E$14-$G35/Assumptions!$E$8)*(O$4-2019)/6)*INDEX(Assumptions!$E$5:$E$14,MATCH(O$4,Assumptions!$A$5:$A$14,0))</f>
        <v>3360939.7997444752</v>
      </c>
      <c r="P35" s="15">
        <f>($G35/Assumptions!$E$8+($H35/Assumptions!$E$14-$G35/Assumptions!$E$8)*(P$4-2019)/6)*INDEX(Assumptions!$E$5:$E$14,MATCH(P$4,Assumptions!$A$5:$A$14,0))</f>
        <v>3659903.5076625557</v>
      </c>
      <c r="Q35" s="15">
        <f>($G35/Assumptions!$E$8+($H35/Assumptions!$E$14-$G35/Assumptions!$E$8)*(Q$4-2019)/6)*INDEX(Assumptions!$E$5:$E$14,MATCH(Q$4,Assumptions!$A$5:$A$14,0))</f>
        <v>4127422.307302082</v>
      </c>
      <c r="R35" s="15">
        <f>($G35/Assumptions!$E$8+($H35/Assumptions!$E$14-$G35/Assumptions!$E$8)*(R$4-2019)/6)*INDEX(Assumptions!$E$5:$E$14,MATCH(R$4,Assumptions!$A$5:$A$14,0))</f>
        <v>4282307.3272225671</v>
      </c>
      <c r="S35" s="15">
        <f>($G35/Assumptions!$E$8+($H35/Assumptions!$E$14-$G35/Assumptions!$E$8)*(S$4-2019)/6)*INDEX(Assumptions!$E$5:$E$14,MATCH(S$4,Assumptions!$A$5:$A$14,0))</f>
        <v>4257678.3330689147</v>
      </c>
      <c r="T35" s="15">
        <f>($G35/Assumptions!$E$8+($H35/Assumptions!$E$14-$G35/Assumptions!$E$8)*(T$4-2019)/6)*INDEX(Assumptions!$E$5:$E$14,MATCH(T$4,Assumptions!$A$5:$A$14,0))</f>
        <v>4297802</v>
      </c>
    </row>
    <row r="36" spans="1:20">
      <c r="A36" s="16" t="s">
        <v>125</v>
      </c>
      <c r="B36" s="16" t="s">
        <v>94</v>
      </c>
      <c r="C36" s="17">
        <v>1798203</v>
      </c>
      <c r="D36" s="17">
        <v>2922367</v>
      </c>
      <c r="E36" s="17">
        <v>3907954</v>
      </c>
      <c r="F36" s="17">
        <v>4522169</v>
      </c>
      <c r="G36" s="18">
        <f>C36+E36</f>
        <v>5706157</v>
      </c>
      <c r="H36" s="18">
        <f>D36+F36</f>
        <v>7444536</v>
      </c>
      <c r="I36" s="19">
        <f>IFERROR((D36/C36)^(1/6)-1,0)</f>
        <v>8.4299704793644459E-2</v>
      </c>
      <c r="J36" s="19">
        <f>IFERROR((H36/G36)^(1/6)-1,0)</f>
        <v>4.5319341685062131E-2</v>
      </c>
      <c r="K36" s="18">
        <f>($G36/Assumptions!$E$8+($H36/Assumptions!$E$14-$G36/Assumptions!$E$8)*(K$4-2019)/6)*INDEX(Assumptions!$E$5:$E$14,MATCH(K$4,Assumptions!$A$5:$A$14,0))</f>
        <v>5300866.3779547559</v>
      </c>
      <c r="L36" s="18">
        <f>($G36/Assumptions!$E$8+($H36/Assumptions!$E$14-$G36/Assumptions!$E$8)*(L$4-2019)/6)*INDEX(Assumptions!$E$5:$E$14,MATCH(L$4,Assumptions!$A$5:$A$14,0))</f>
        <v>5394909.2007761952</v>
      </c>
      <c r="M36" s="18">
        <f>($G36/Assumptions!$E$8+($H36/Assumptions!$E$14-$G36/Assumptions!$E$8)*(M$4-2019)/6)*INDEX(Assumptions!$E$5:$E$14,MATCH(M$4,Assumptions!$A$5:$A$14,0))</f>
        <v>5507345.2335447595</v>
      </c>
      <c r="N36" s="18">
        <f>($G36/Assumptions!$E$8+($H36/Assumptions!$E$14-$G36/Assumptions!$E$8)*(N$4-2019)/6)*INDEX(Assumptions!$E$5:$E$14,MATCH(N$4,Assumptions!$A$5:$A$14,0))</f>
        <v>5706157</v>
      </c>
      <c r="O36" s="18">
        <f>($G36/Assumptions!$E$8+($H36/Assumptions!$E$14-$G36/Assumptions!$E$8)*(O$4-2019)/6)*INDEX(Assumptions!$E$5:$E$14,MATCH(O$4,Assumptions!$A$5:$A$14,0))</f>
        <v>5977630.1042962493</v>
      </c>
      <c r="P36" s="18">
        <f>($G36/Assumptions!$E$8+($H36/Assumptions!$E$14-$G36/Assumptions!$E$8)*(P$4-2019)/6)*INDEX(Assumptions!$E$5:$E$14,MATCH(P$4,Assumptions!$A$5:$A$14,0))</f>
        <v>6475155.6462279884</v>
      </c>
      <c r="Q36" s="18">
        <f>($G36/Assumptions!$E$8+($H36/Assumptions!$E$14-$G36/Assumptions!$E$8)*(Q$4-2019)/6)*INDEX(Assumptions!$E$5:$E$14,MATCH(Q$4,Assumptions!$A$5:$A$14,0))</f>
        <v>7263868.1844623871</v>
      </c>
      <c r="R36" s="18">
        <f>($G36/Assumptions!$E$8+($H36/Assumptions!$E$14-$G36/Assumptions!$E$8)*(R$4-2019)/6)*INDEX(Assumptions!$E$5:$E$14,MATCH(R$4,Assumptions!$A$5:$A$14,0))</f>
        <v>7496723.7335722623</v>
      </c>
      <c r="S36" s="18">
        <f>($G36/Assumptions!$E$8+($H36/Assumptions!$E$14-$G36/Assumptions!$E$8)*(S$4-2019)/6)*INDEX(Assumptions!$E$5:$E$14,MATCH(S$4,Assumptions!$A$5:$A$14,0))</f>
        <v>7414250.650988278</v>
      </c>
      <c r="T36" s="18">
        <f>($G36/Assumptions!$E$8+($H36/Assumptions!$E$14-$G36/Assumptions!$E$8)*(T$4-2019)/6)*INDEX(Assumptions!$E$5:$E$14,MATCH(T$4,Assumptions!$A$5:$A$14,0))</f>
        <v>7444535.9999999991</v>
      </c>
    </row>
    <row r="37" spans="1:20">
      <c r="A37" s="3" t="s">
        <v>126</v>
      </c>
      <c r="B37" s="3" t="s">
        <v>94</v>
      </c>
      <c r="C37" s="14">
        <v>5811655</v>
      </c>
      <c r="D37" s="14">
        <v>8497942</v>
      </c>
      <c r="E37" s="14">
        <v>7922785</v>
      </c>
      <c r="F37" s="14">
        <v>8459286</v>
      </c>
      <c r="G37" s="15">
        <f>C37+E37</f>
        <v>13734440</v>
      </c>
      <c r="H37" s="15">
        <f>D37+F37</f>
        <v>16957228</v>
      </c>
      <c r="I37" s="10">
        <f>IFERROR((D37/C37)^(1/6)-1,0)</f>
        <v>6.5374562019248295E-2</v>
      </c>
      <c r="J37" s="10">
        <f>IFERROR((H37/G37)^(1/6)-1,0)</f>
        <v>3.5755664668944309E-2</v>
      </c>
      <c r="K37" s="15">
        <f>($G37/Assumptions!$E$8+($H37/Assumptions!$E$14-$G37/Assumptions!$E$8)*(K$4-2019)/6)*INDEX(Assumptions!$E$5:$E$14,MATCH(K$4,Assumptions!$A$5:$A$14,0))</f>
        <v>13090712.340210402</v>
      </c>
      <c r="L37" s="15">
        <f>($G37/Assumptions!$E$8+($H37/Assumptions!$E$14-$G37/Assumptions!$E$8)*(L$4-2019)/6)*INDEX(Assumptions!$E$5:$E$14,MATCH(L$4,Assumptions!$A$5:$A$14,0))</f>
        <v>13211166.949745255</v>
      </c>
      <c r="M37" s="15">
        <f>($G37/Assumptions!$E$8+($H37/Assumptions!$E$14-$G37/Assumptions!$E$8)*(M$4-2019)/6)*INDEX(Assumptions!$E$5:$E$14,MATCH(M$4,Assumptions!$A$5:$A$14,0))</f>
        <v>13371601.789121997</v>
      </c>
      <c r="N37" s="15">
        <f>($G37/Assumptions!$E$8+($H37/Assumptions!$E$14-$G37/Assumptions!$E$8)*(N$4-2019)/6)*INDEX(Assumptions!$E$5:$E$14,MATCH(N$4,Assumptions!$A$5:$A$14,0))</f>
        <v>13734440</v>
      </c>
      <c r="O37" s="15">
        <f>($G37/Assumptions!$E$8+($H37/Assumptions!$E$14-$G37/Assumptions!$E$8)*(O$4-2019)/6)*INDEX(Assumptions!$E$5:$E$14,MATCH(O$4,Assumptions!$A$5:$A$14,0))</f>
        <v>14261423.754488017</v>
      </c>
      <c r="P37" s="15">
        <f>($G37/Assumptions!$E$8+($H37/Assumptions!$E$14-$G37/Assumptions!$E$8)*(P$4-2019)/6)*INDEX(Assumptions!$E$5:$E$14,MATCH(P$4,Assumptions!$A$5:$A$14,0))</f>
        <v>15310507.83303302</v>
      </c>
      <c r="Q37" s="15">
        <f>($G37/Assumptions!$E$8+($H37/Assumptions!$E$14-$G37/Assumptions!$E$8)*(Q$4-2019)/6)*INDEX(Assumptions!$E$5:$E$14,MATCH(Q$4,Assumptions!$A$5:$A$14,0))</f>
        <v>17019632.299645621</v>
      </c>
      <c r="R37" s="15">
        <f>($G37/Assumptions!$E$8+($H37/Assumptions!$E$14-$G37/Assumptions!$E$8)*(R$4-2019)/6)*INDEX(Assumptions!$E$5:$E$14,MATCH(R$4,Assumptions!$A$5:$A$14,0))</f>
        <v>17403322.299917318</v>
      </c>
      <c r="S37" s="15">
        <f>($G37/Assumptions!$E$8+($H37/Assumptions!$E$14-$G37/Assumptions!$E$8)*(S$4-2019)/6)*INDEX(Assumptions!$E$5:$E$14,MATCH(S$4,Assumptions!$A$5:$A$14,0))</f>
        <v>17050620.954674974</v>
      </c>
      <c r="T37" s="15">
        <f>($G37/Assumptions!$E$8+($H37/Assumptions!$E$14-$G37/Assumptions!$E$8)*(T$4-2019)/6)*INDEX(Assumptions!$E$5:$E$14,MATCH(T$4,Assumptions!$A$5:$A$14,0))</f>
        <v>16957228</v>
      </c>
    </row>
    <row r="38" spans="1:20">
      <c r="A38" s="16" t="s">
        <v>127</v>
      </c>
      <c r="B38" s="16" t="s">
        <v>94</v>
      </c>
      <c r="C38" s="17">
        <v>14622568</v>
      </c>
      <c r="D38" s="17">
        <v>23314564</v>
      </c>
      <c r="E38" s="17">
        <v>13708841</v>
      </c>
      <c r="F38" s="17">
        <v>18088677</v>
      </c>
      <c r="G38" s="18">
        <f>C38+E38</f>
        <v>28331409</v>
      </c>
      <c r="H38" s="18">
        <f>D38+F38</f>
        <v>41403241</v>
      </c>
      <c r="I38" s="19">
        <f>IFERROR((D38/C38)^(1/6)-1,0)</f>
        <v>8.0854598892256657E-2</v>
      </c>
      <c r="J38" s="19">
        <f>IFERROR((H38/G38)^(1/6)-1,0)</f>
        <v>6.5273264343834514E-2</v>
      </c>
      <c r="K38" s="18">
        <f>($G38/Assumptions!$E$8+($H38/Assumptions!$E$14-$G38/Assumptions!$E$8)*(K$4-2019)/6)*INDEX(Assumptions!$E$5:$E$14,MATCH(K$4,Assumptions!$A$5:$A$14,0))</f>
        <v>24786611.067159925</v>
      </c>
      <c r="L38" s="18">
        <f>($G38/Assumptions!$E$8+($H38/Assumptions!$E$14-$G38/Assumptions!$E$8)*(L$4-2019)/6)*INDEX(Assumptions!$E$5:$E$14,MATCH(L$4,Assumptions!$A$5:$A$14,0))</f>
        <v>25742694.118902378</v>
      </c>
      <c r="M38" s="18">
        <f>($G38/Assumptions!$E$8+($H38/Assumptions!$E$14-$G38/Assumptions!$E$8)*(M$4-2019)/6)*INDEX(Assumptions!$E$5:$E$14,MATCH(M$4,Assumptions!$A$5:$A$14,0))</f>
        <v>26809921.943628281</v>
      </c>
      <c r="N38" s="18">
        <f>($G38/Assumptions!$E$8+($H38/Assumptions!$E$14-$G38/Assumptions!$E$8)*(N$4-2019)/6)*INDEX(Assumptions!$E$5:$E$14,MATCH(N$4,Assumptions!$A$5:$A$14,0))</f>
        <v>28331409</v>
      </c>
      <c r="O38" s="18">
        <f>($G38/Assumptions!$E$8+($H38/Assumptions!$E$14-$G38/Assumptions!$E$8)*(O$4-2019)/6)*INDEX(Assumptions!$E$5:$E$14,MATCH(O$4,Assumptions!$A$5:$A$14,0))</f>
        <v>30263302.488794744</v>
      </c>
      <c r="P38" s="18">
        <f>($G38/Assumptions!$E$8+($H38/Assumptions!$E$14-$G38/Assumptions!$E$8)*(P$4-2019)/6)*INDEX(Assumptions!$E$5:$E$14,MATCH(P$4,Assumptions!$A$5:$A$14,0))</f>
        <v>33419161.81450253</v>
      </c>
      <c r="Q38" s="18">
        <f>($G38/Assumptions!$E$8+($H38/Assumptions!$E$14-$G38/Assumptions!$E$8)*(Q$4-2019)/6)*INDEX(Assumptions!$E$5:$E$14,MATCH(Q$4,Assumptions!$A$5:$A$14,0))</f>
        <v>38209384.648183338</v>
      </c>
      <c r="R38" s="18">
        <f>($G38/Assumptions!$E$8+($H38/Assumptions!$E$14-$G38/Assumptions!$E$8)*(R$4-2019)/6)*INDEX(Assumptions!$E$5:$E$14,MATCH(R$4,Assumptions!$A$5:$A$14,0))</f>
        <v>40182072.123632908</v>
      </c>
      <c r="S38" s="18">
        <f>($G38/Assumptions!$E$8+($H38/Assumptions!$E$14-$G38/Assumptions!$E$8)*(S$4-2019)/6)*INDEX(Assumptions!$E$5:$E$14,MATCH(S$4,Assumptions!$A$5:$A$14,0))</f>
        <v>40484795.891117759</v>
      </c>
      <c r="T38" s="18">
        <f>($G38/Assumptions!$E$8+($H38/Assumptions!$E$14-$G38/Assumptions!$E$8)*(T$4-2019)/6)*INDEX(Assumptions!$E$5:$E$14,MATCH(T$4,Assumptions!$A$5:$A$14,0))</f>
        <v>41403241</v>
      </c>
    </row>
    <row r="39" spans="1:20">
      <c r="A39" s="3" t="s">
        <v>128</v>
      </c>
      <c r="B39" s="3" t="s">
        <v>94</v>
      </c>
      <c r="C39" s="14">
        <v>2058996</v>
      </c>
      <c r="D39" s="14">
        <v>2814012</v>
      </c>
      <c r="E39" s="14">
        <v>2522629</v>
      </c>
      <c r="F39" s="14">
        <v>2770848</v>
      </c>
      <c r="G39" s="15">
        <f>C39+E39</f>
        <v>4581625</v>
      </c>
      <c r="H39" s="15">
        <f>D39+F39</f>
        <v>5584860</v>
      </c>
      <c r="I39" s="10">
        <f>IFERROR((D39/C39)^(1/6)-1,0)</f>
        <v>5.3444694834993367E-2</v>
      </c>
      <c r="J39" s="10">
        <f>IFERROR((H39/G39)^(1/6)-1,0)</f>
        <v>3.3551508431586718E-2</v>
      </c>
      <c r="K39" s="15">
        <f>($G39/Assumptions!$E$8+($H39/Assumptions!$E$14-$G39/Assumptions!$E$8)*(K$4-2019)/6)*INDEX(Assumptions!$E$5:$E$14,MATCH(K$4,Assumptions!$A$5:$A$14,0))</f>
        <v>4391679.8586444864</v>
      </c>
      <c r="L39" s="15">
        <f>($G39/Assumptions!$E$8+($H39/Assumptions!$E$14-$G39/Assumptions!$E$8)*(L$4-2019)/6)*INDEX(Assumptions!$E$5:$E$14,MATCH(L$4,Assumptions!$A$5:$A$14,0))</f>
        <v>4423948.0689326962</v>
      </c>
      <c r="M39" s="15">
        <f>($G39/Assumptions!$E$8+($H39/Assumptions!$E$14-$G39/Assumptions!$E$8)*(M$4-2019)/6)*INDEX(Assumptions!$E$5:$E$14,MATCH(M$4,Assumptions!$A$5:$A$14,0))</f>
        <v>4469232.4657259965</v>
      </c>
      <c r="N39" s="15">
        <f>($G39/Assumptions!$E$8+($H39/Assumptions!$E$14-$G39/Assumptions!$E$8)*(N$4-2019)/6)*INDEX(Assumptions!$E$5:$E$14,MATCH(N$4,Assumptions!$A$5:$A$14,0))</f>
        <v>4581625</v>
      </c>
      <c r="O39" s="15">
        <f>($G39/Assumptions!$E$8+($H39/Assumptions!$E$14-$G39/Assumptions!$E$8)*(O$4-2019)/6)*INDEX(Assumptions!$E$5:$E$14,MATCH(O$4,Assumptions!$A$5:$A$14,0))</f>
        <v>4747971.2047021687</v>
      </c>
      <c r="P39" s="15">
        <f>($G39/Assumptions!$E$8+($H39/Assumptions!$E$14-$G39/Assumptions!$E$8)*(P$4-2019)/6)*INDEX(Assumptions!$E$5:$E$14,MATCH(P$4,Assumptions!$A$5:$A$14,0))</f>
        <v>5086839.2990138642</v>
      </c>
      <c r="Q39" s="15">
        <f>($G39/Assumptions!$E$8+($H39/Assumptions!$E$14-$G39/Assumptions!$E$8)*(Q$4-2019)/6)*INDEX(Assumptions!$E$5:$E$14,MATCH(Q$4,Assumptions!$A$5:$A$14,0))</f>
        <v>5642836.6902361717</v>
      </c>
      <c r="R39" s="15">
        <f>($G39/Assumptions!$E$8+($H39/Assumptions!$E$14-$G39/Assumptions!$E$8)*(R$4-2019)/6)*INDEX(Assumptions!$E$5:$E$14,MATCH(R$4,Assumptions!$A$5:$A$14,0))</f>
        <v>5757619.9747227272</v>
      </c>
      <c r="S39" s="15">
        <f>($G39/Assumptions!$E$8+($H39/Assumptions!$E$14-$G39/Assumptions!$E$8)*(S$4-2019)/6)*INDEX(Assumptions!$E$5:$E$14,MATCH(S$4,Assumptions!$A$5:$A$14,0))</f>
        <v>5628441.0273083206</v>
      </c>
      <c r="T39" s="15">
        <f>($G39/Assumptions!$E$8+($H39/Assumptions!$E$14-$G39/Assumptions!$E$8)*(T$4-2019)/6)*INDEX(Assumptions!$E$5:$E$14,MATCH(T$4,Assumptions!$A$5:$A$14,0))</f>
        <v>5584860</v>
      </c>
    </row>
    <row r="40" spans="1:20">
      <c r="A40" s="16" t="s">
        <v>129</v>
      </c>
      <c r="B40" s="16" t="s">
        <v>94</v>
      </c>
      <c r="C40" s="17">
        <v>4843283</v>
      </c>
      <c r="D40" s="17">
        <v>7557831</v>
      </c>
      <c r="E40" s="17">
        <v>5414841</v>
      </c>
      <c r="F40" s="17">
        <v>6588076</v>
      </c>
      <c r="G40" s="18">
        <f>C40+E40</f>
        <v>10258124</v>
      </c>
      <c r="H40" s="18">
        <f>D40+F40</f>
        <v>14145907</v>
      </c>
      <c r="I40" s="19">
        <f>IFERROR((D40/C40)^(1/6)-1,0)</f>
        <v>7.6984753135727058E-2</v>
      </c>
      <c r="J40" s="19">
        <f>IFERROR((H40/G40)^(1/6)-1,0)</f>
        <v>5.5019472966531424E-2</v>
      </c>
      <c r="K40" s="18">
        <f>($G40/Assumptions!$E$8+($H40/Assumptions!$E$14-$G40/Assumptions!$E$8)*(K$4-2019)/6)*INDEX(Assumptions!$E$5:$E$14,MATCH(K$4,Assumptions!$A$5:$A$14,0))</f>
        <v>9266326.384986911</v>
      </c>
      <c r="L40" s="18">
        <f>($G40/Assumptions!$E$8+($H40/Assumptions!$E$14-$G40/Assumptions!$E$8)*(L$4-2019)/6)*INDEX(Assumptions!$E$5:$E$14,MATCH(L$4,Assumptions!$A$5:$A$14,0))</f>
        <v>9519398.0969256181</v>
      </c>
      <c r="M40" s="18">
        <f>($G40/Assumptions!$E$8+($H40/Assumptions!$E$14-$G40/Assumptions!$E$8)*(M$4-2019)/6)*INDEX(Assumptions!$E$5:$E$14,MATCH(M$4,Assumptions!$A$5:$A$14,0))</f>
        <v>9808939.9721149933</v>
      </c>
      <c r="N40" s="18">
        <f>($G40/Assumptions!$E$8+($H40/Assumptions!$E$14-$G40/Assumptions!$E$8)*(N$4-2019)/6)*INDEX(Assumptions!$E$5:$E$14,MATCH(N$4,Assumptions!$A$5:$A$14,0))</f>
        <v>10258124</v>
      </c>
      <c r="O40" s="18">
        <f>($G40/Assumptions!$E$8+($H40/Assumptions!$E$14-$G40/Assumptions!$E$8)*(O$4-2019)/6)*INDEX(Assumptions!$E$5:$E$14,MATCH(O$4,Assumptions!$A$5:$A$14,0))</f>
        <v>10846458.426580017</v>
      </c>
      <c r="P40" s="18">
        <f>($G40/Assumptions!$E$8+($H40/Assumptions!$E$14-$G40/Assumptions!$E$8)*(P$4-2019)/6)*INDEX(Assumptions!$E$5:$E$14,MATCH(P$4,Assumptions!$A$5:$A$14,0))</f>
        <v>11858623.167973263</v>
      </c>
      <c r="Q40" s="18">
        <f>($G40/Assumptions!$E$8+($H40/Assumptions!$E$14-$G40/Assumptions!$E$8)*(Q$4-2019)/6)*INDEX(Assumptions!$E$5:$E$14,MATCH(Q$4,Assumptions!$A$5:$A$14,0))</f>
        <v>13426654.145516533</v>
      </c>
      <c r="R40" s="18">
        <f>($G40/Assumptions!$E$8+($H40/Assumptions!$E$14-$G40/Assumptions!$E$8)*(R$4-2019)/6)*INDEX(Assumptions!$E$5:$E$14,MATCH(R$4,Assumptions!$A$5:$A$14,0))</f>
        <v>13985500.150635745</v>
      </c>
      <c r="S40" s="18">
        <f>($G40/Assumptions!$E$8+($H40/Assumptions!$E$14-$G40/Assumptions!$E$8)*(S$4-2019)/6)*INDEX(Assumptions!$E$5:$E$14,MATCH(S$4,Assumptions!$A$5:$A$14,0))</f>
        <v>13959551.507798679</v>
      </c>
      <c r="T40" s="18">
        <f>($G40/Assumptions!$E$8+($H40/Assumptions!$E$14-$G40/Assumptions!$E$8)*(T$4-2019)/6)*INDEX(Assumptions!$E$5:$E$14,MATCH(T$4,Assumptions!$A$5:$A$14,0))</f>
        <v>14145907</v>
      </c>
    </row>
    <row r="41" spans="1:20">
      <c r="A41" s="3" t="s">
        <v>130</v>
      </c>
      <c r="B41" s="3" t="s">
        <v>94</v>
      </c>
      <c r="C41" s="14">
        <v>3200294</v>
      </c>
      <c r="D41" s="14">
        <v>5952445</v>
      </c>
      <c r="E41" s="14">
        <v>3129627</v>
      </c>
      <c r="F41" s="14">
        <v>3801883</v>
      </c>
      <c r="G41" s="15">
        <f>C41+E41</f>
        <v>6329921</v>
      </c>
      <c r="H41" s="15">
        <f>D41+F41</f>
        <v>9754328</v>
      </c>
      <c r="I41" s="10">
        <f>IFERROR((D41/C41)^(1/6)-1,0)</f>
        <v>0.10896435153252204</v>
      </c>
      <c r="J41" s="10">
        <f>IFERROR((H41/G41)^(1/6)-1,0)</f>
        <v>7.4731168710983731E-2</v>
      </c>
      <c r="K41" s="15">
        <f>($G41/Assumptions!$E$8+($H41/Assumptions!$E$14-$G41/Assumptions!$E$8)*(K$4-2019)/6)*INDEX(Assumptions!$E$5:$E$14,MATCH(K$4,Assumptions!$A$5:$A$14,0))</f>
        <v>5364047.7439431055</v>
      </c>
      <c r="L41" s="15">
        <f>($G41/Assumptions!$E$8+($H41/Assumptions!$E$14-$G41/Assumptions!$E$8)*(L$4-2019)/6)*INDEX(Assumptions!$E$5:$E$14,MATCH(L$4,Assumptions!$A$5:$A$14,0))</f>
        <v>5633159.8294631084</v>
      </c>
      <c r="M41" s="15">
        <f>($G41/Assumptions!$E$8+($H41/Assumptions!$E$14-$G41/Assumptions!$E$8)*(M$4-2019)/6)*INDEX(Assumptions!$E$5:$E$14,MATCH(M$4,Assumptions!$A$5:$A$14,0))</f>
        <v>5929353.2981747147</v>
      </c>
      <c r="N41" s="15">
        <f>($G41/Assumptions!$E$8+($H41/Assumptions!$E$14-$G41/Assumptions!$E$8)*(N$4-2019)/6)*INDEX(Assumptions!$E$5:$E$14,MATCH(N$4,Assumptions!$A$5:$A$14,0))</f>
        <v>6329921</v>
      </c>
      <c r="O41" s="15">
        <f>($G41/Assumptions!$E$8+($H41/Assumptions!$E$14-$G41/Assumptions!$E$8)*(O$4-2019)/6)*INDEX(Assumptions!$E$5:$E$14,MATCH(O$4,Assumptions!$A$5:$A$14,0))</f>
        <v>6827815.4564342164</v>
      </c>
      <c r="P41" s="15">
        <f>($G41/Assumptions!$E$8+($H41/Assumptions!$E$14-$G41/Assumptions!$E$8)*(P$4-2019)/6)*INDEX(Assumptions!$E$5:$E$14,MATCH(P$4,Assumptions!$A$5:$A$14,0))</f>
        <v>7610701.3183430564</v>
      </c>
      <c r="Q41" s="15">
        <f>($G41/Assumptions!$E$8+($H41/Assumptions!$E$14-$G41/Assumptions!$E$8)*(Q$4-2019)/6)*INDEX(Assumptions!$E$5:$E$14,MATCH(Q$4,Assumptions!$A$5:$A$14,0))</f>
        <v>8780142.53253874</v>
      </c>
      <c r="R41" s="15">
        <f>($G41/Assumptions!$E$8+($H41/Assumptions!$E$14-$G41/Assumptions!$E$8)*(R$4-2019)/6)*INDEX(Assumptions!$E$5:$E$14,MATCH(R$4,Assumptions!$A$5:$A$14,0))</f>
        <v>9313534.7355671935</v>
      </c>
      <c r="S41" s="15">
        <f>($G41/Assumptions!$E$8+($H41/Assumptions!$E$14-$G41/Assumptions!$E$8)*(S$4-2019)/6)*INDEX(Assumptions!$E$5:$E$14,MATCH(S$4,Assumptions!$A$5:$A$14,0))</f>
        <v>9461978.3788892478</v>
      </c>
      <c r="T41" s="15">
        <f>($G41/Assumptions!$E$8+($H41/Assumptions!$E$14-$G41/Assumptions!$E$8)*(T$4-2019)/6)*INDEX(Assumptions!$E$5:$E$14,MATCH(T$4,Assumptions!$A$5:$A$14,0))</f>
        <v>9754328</v>
      </c>
    </row>
    <row r="42" spans="1:20">
      <c r="A42" s="16" t="s">
        <v>131</v>
      </c>
      <c r="B42" s="16" t="s">
        <v>94</v>
      </c>
      <c r="C42" s="17">
        <v>493336</v>
      </c>
      <c r="D42" s="17">
        <v>929167</v>
      </c>
      <c r="E42" s="17">
        <v>2029852</v>
      </c>
      <c r="F42" s="17">
        <v>2079335</v>
      </c>
      <c r="G42" s="18">
        <f>C42+E42</f>
        <v>2523188</v>
      </c>
      <c r="H42" s="18">
        <f>D42+F42</f>
        <v>3008502</v>
      </c>
      <c r="I42" s="19">
        <f>IFERROR((D42/C42)^(1/6)-1,0)</f>
        <v>0.1112842557885898</v>
      </c>
      <c r="J42" s="19">
        <f>IFERROR((H42/G42)^(1/6)-1,0)</f>
        <v>2.9753908441920718E-2</v>
      </c>
      <c r="K42" s="18">
        <f>($G42/Assumptions!$E$8+($H42/Assumptions!$E$14-$G42/Assumptions!$E$8)*(K$4-2019)/6)*INDEX(Assumptions!$E$5:$E$14,MATCH(K$4,Assumptions!$A$5:$A$14,0))</f>
        <v>2441768.1194043988</v>
      </c>
      <c r="L42" s="18">
        <f>($G42/Assumptions!$E$8+($H42/Assumptions!$E$14-$G42/Assumptions!$E$8)*(L$4-2019)/6)*INDEX(Assumptions!$E$5:$E$14,MATCH(L$4,Assumptions!$A$5:$A$14,0))</f>
        <v>2452138.0173435244</v>
      </c>
      <c r="M42" s="18">
        <f>($G42/Assumptions!$E$8+($H42/Assumptions!$E$14-$G42/Assumptions!$E$8)*(M$4-2019)/6)*INDEX(Assumptions!$E$5:$E$14,MATCH(M$4,Assumptions!$A$5:$A$14,0))</f>
        <v>2469376.2828226876</v>
      </c>
      <c r="N42" s="18">
        <f>($G42/Assumptions!$E$8+($H42/Assumptions!$E$14-$G42/Assumptions!$E$8)*(N$4-2019)/6)*INDEX(Assumptions!$E$5:$E$14,MATCH(N$4,Assumptions!$A$5:$A$14,0))</f>
        <v>2523188</v>
      </c>
      <c r="O42" s="18">
        <f>($G42/Assumptions!$E$8+($H42/Assumptions!$E$14-$G42/Assumptions!$E$8)*(O$4-2019)/6)*INDEX(Assumptions!$E$5:$E$14,MATCH(O$4,Assumptions!$A$5:$A$14,0))</f>
        <v>2605962.0073230877</v>
      </c>
      <c r="P42" s="18">
        <f>($G42/Assumptions!$E$8+($H42/Assumptions!$E$14-$G42/Assumptions!$E$8)*(P$4-2019)/6)*INDEX(Assumptions!$E$5:$E$14,MATCH(P$4,Assumptions!$A$5:$A$14,0))</f>
        <v>2782209.8801773749</v>
      </c>
      <c r="Q42" s="18">
        <f>($G42/Assumptions!$E$8+($H42/Assumptions!$E$14-$G42/Assumptions!$E$8)*(Q$4-2019)/6)*INDEX(Assumptions!$E$5:$E$14,MATCH(Q$4,Assumptions!$A$5:$A$14,0))</f>
        <v>3075181.4618060524</v>
      </c>
      <c r="R42" s="18">
        <f>($G42/Assumptions!$E$8+($H42/Assumptions!$E$14-$G42/Assumptions!$E$8)*(R$4-2019)/6)*INDEX(Assumptions!$E$5:$E$14,MATCH(R$4,Assumptions!$A$5:$A$14,0))</f>
        <v>3126040.6172402161</v>
      </c>
      <c r="S42" s="18">
        <f>($G42/Assumptions!$E$8+($H42/Assumptions!$E$14-$G42/Assumptions!$E$8)*(S$4-2019)/6)*INDEX(Assumptions!$E$5:$E$14,MATCH(S$4,Assumptions!$A$5:$A$14,0))</f>
        <v>3044123.7513440042</v>
      </c>
      <c r="T42" s="18">
        <f>($G42/Assumptions!$E$8+($H42/Assumptions!$E$14-$G42/Assumptions!$E$8)*(T$4-2019)/6)*INDEX(Assumptions!$E$5:$E$14,MATCH(T$4,Assumptions!$A$5:$A$14,0))</f>
        <v>3008502</v>
      </c>
    </row>
    <row r="43" spans="1:20">
      <c r="A43" s="3" t="s">
        <v>132</v>
      </c>
      <c r="B43" s="3" t="s">
        <v>94</v>
      </c>
      <c r="C43" s="14">
        <v>2104027</v>
      </c>
      <c r="D43" s="14">
        <v>3619093</v>
      </c>
      <c r="E43" s="14">
        <v>3321353</v>
      </c>
      <c r="F43" s="14">
        <v>3957258</v>
      </c>
      <c r="G43" s="15">
        <f>C43+E43</f>
        <v>5425380</v>
      </c>
      <c r="H43" s="15">
        <f>D43+F43</f>
        <v>7576351</v>
      </c>
      <c r="I43" s="10">
        <f>IFERROR((D43/C43)^(1/6)-1,0)</f>
        <v>9.4606625287070978E-2</v>
      </c>
      <c r="J43" s="10">
        <f>IFERROR((H43/G43)^(1/6)-1,0)</f>
        <v>5.7235296935095548E-2</v>
      </c>
      <c r="K43" s="15">
        <f>($G43/Assumptions!$E$8+($H43/Assumptions!$E$14-$G43/Assumptions!$E$8)*(K$4-2019)/6)*INDEX(Assumptions!$E$5:$E$14,MATCH(K$4,Assumptions!$A$5:$A$14,0))</f>
        <v>4868124.042124046</v>
      </c>
      <c r="L43" s="15">
        <f>($G43/Assumptions!$E$8+($H43/Assumptions!$E$14-$G43/Assumptions!$E$8)*(L$4-2019)/6)*INDEX(Assumptions!$E$5:$E$14,MATCH(L$4,Assumptions!$A$5:$A$14,0))</f>
        <v>5012410.0878274469</v>
      </c>
      <c r="M43" s="15">
        <f>($G43/Assumptions!$E$8+($H43/Assumptions!$E$14-$G43/Assumptions!$E$8)*(M$4-2019)/6)*INDEX(Assumptions!$E$5:$E$14,MATCH(M$4,Assumptions!$A$5:$A$14,0))</f>
        <v>5176407.7420248631</v>
      </c>
      <c r="N43" s="15">
        <f>($G43/Assumptions!$E$8+($H43/Assumptions!$E$14-$G43/Assumptions!$E$8)*(N$4-2019)/6)*INDEX(Assumptions!$E$5:$E$14,MATCH(N$4,Assumptions!$A$5:$A$14,0))</f>
        <v>5425380</v>
      </c>
      <c r="O43" s="15">
        <f>($G43/Assumptions!$E$8+($H43/Assumptions!$E$14-$G43/Assumptions!$E$8)*(O$4-2019)/6)*INDEX(Assumptions!$E$5:$E$14,MATCH(O$4,Assumptions!$A$5:$A$14,0))</f>
        <v>5749006.4046608545</v>
      </c>
      <c r="P43" s="15">
        <f>($G43/Assumptions!$E$8+($H43/Assumptions!$E$14-$G43/Assumptions!$E$8)*(P$4-2019)/6)*INDEX(Assumptions!$E$5:$E$14,MATCH(P$4,Assumptions!$A$5:$A$14,0))</f>
        <v>6298959.2728130594</v>
      </c>
      <c r="Q43" s="15">
        <f>($G43/Assumptions!$E$8+($H43/Assumptions!$E$14-$G43/Assumptions!$E$8)*(Q$4-2019)/6)*INDEX(Assumptions!$E$5:$E$14,MATCH(Q$4,Assumptions!$A$5:$A$14,0))</f>
        <v>7146927.4137518937</v>
      </c>
      <c r="R43" s="15">
        <f>($G43/Assumptions!$E$8+($H43/Assumptions!$E$14-$G43/Assumptions!$E$8)*(R$4-2019)/6)*INDEX(Assumptions!$E$5:$E$14,MATCH(R$4,Assumptions!$A$5:$A$14,0))</f>
        <v>7459920.684409691</v>
      </c>
      <c r="S43" s="15">
        <f>($G43/Assumptions!$E$8+($H43/Assumptions!$E$14-$G43/Assumptions!$E$8)*(S$4-2019)/6)*INDEX(Assumptions!$E$5:$E$14,MATCH(S$4,Assumptions!$A$5:$A$14,0))</f>
        <v>7461397.2813018514</v>
      </c>
      <c r="T43" s="15">
        <f>($G43/Assumptions!$E$8+($H43/Assumptions!$E$14-$G43/Assumptions!$E$8)*(T$4-2019)/6)*INDEX(Assumptions!$E$5:$E$14,MATCH(T$4,Assumptions!$A$5:$A$14,0))</f>
        <v>7576350.9999999991</v>
      </c>
    </row>
    <row r="44" spans="1:20">
      <c r="A44" s="16" t="s">
        <v>133</v>
      </c>
      <c r="B44" s="16" t="s">
        <v>94</v>
      </c>
      <c r="C44" s="17">
        <v>1326476</v>
      </c>
      <c r="D44" s="17">
        <v>1217916</v>
      </c>
      <c r="E44" s="17">
        <v>1347795</v>
      </c>
      <c r="F44" s="17">
        <v>1391658</v>
      </c>
      <c r="G44" s="18">
        <f>C44+E44</f>
        <v>2674271</v>
      </c>
      <c r="H44" s="18">
        <f>D44+F44</f>
        <v>2609574</v>
      </c>
      <c r="I44" s="19">
        <f>IFERROR((D44/C44)^(1/6)-1,0)</f>
        <v>-1.4129987977684944E-2</v>
      </c>
      <c r="J44" s="19">
        <f>IFERROR((H44/G44)^(1/6)-1,0)</f>
        <v>-4.0733198057500974E-3</v>
      </c>
      <c r="K44" s="18">
        <f>($G44/Assumptions!$E$8+($H44/Assumptions!$E$14-$G44/Assumptions!$E$8)*(K$4-2019)/6)*INDEX(Assumptions!$E$5:$E$14,MATCH(K$4,Assumptions!$A$5:$A$14,0))</f>
        <v>2787816.8103309125</v>
      </c>
      <c r="L44" s="18">
        <f>($G44/Assumptions!$E$8+($H44/Assumptions!$E$14-$G44/Assumptions!$E$8)*(L$4-2019)/6)*INDEX(Assumptions!$E$5:$E$14,MATCH(L$4,Assumptions!$A$5:$A$14,0))</f>
        <v>2735021.1515254905</v>
      </c>
      <c r="M44" s="18">
        <f>($G44/Assumptions!$E$8+($H44/Assumptions!$E$14-$G44/Assumptions!$E$8)*(M$4-2019)/6)*INDEX(Assumptions!$E$5:$E$14,MATCH(M$4,Assumptions!$A$5:$A$14,0))</f>
        <v>2686920.3856674908</v>
      </c>
      <c r="N44" s="18">
        <f>($G44/Assumptions!$E$8+($H44/Assumptions!$E$14-$G44/Assumptions!$E$8)*(N$4-2019)/6)*INDEX(Assumptions!$E$5:$E$14,MATCH(N$4,Assumptions!$A$5:$A$14,0))</f>
        <v>2674271</v>
      </c>
      <c r="O44" s="18">
        <f>($G44/Assumptions!$E$8+($H44/Assumptions!$E$14-$G44/Assumptions!$E$8)*(O$4-2019)/6)*INDEX(Assumptions!$E$5:$E$14,MATCH(O$4,Assumptions!$A$5:$A$14,0))</f>
        <v>2685845.1639202824</v>
      </c>
      <c r="P44" s="18">
        <f>($G44/Assumptions!$E$8+($H44/Assumptions!$E$14-$G44/Assumptions!$E$8)*(P$4-2019)/6)*INDEX(Assumptions!$E$5:$E$14,MATCH(P$4,Assumptions!$A$5:$A$14,0))</f>
        <v>2783241.1556409323</v>
      </c>
      <c r="Q44" s="18">
        <f>($G44/Assumptions!$E$8+($H44/Assumptions!$E$14-$G44/Assumptions!$E$8)*(Q$4-2019)/6)*INDEX(Assumptions!$E$5:$E$14,MATCH(Q$4,Assumptions!$A$5:$A$14,0))</f>
        <v>2979755.9523763512</v>
      </c>
      <c r="R44" s="18">
        <f>($G44/Assumptions!$E$8+($H44/Assumptions!$E$14-$G44/Assumptions!$E$8)*(R$4-2019)/6)*INDEX(Assumptions!$E$5:$E$14,MATCH(R$4,Assumptions!$A$5:$A$14,0))</f>
        <v>2927181.7125623538</v>
      </c>
      <c r="S44" s="18">
        <f>($G44/Assumptions!$E$8+($H44/Assumptions!$E$14-$G44/Assumptions!$E$8)*(S$4-2019)/6)*INDEX(Assumptions!$E$5:$E$14,MATCH(S$4,Assumptions!$A$5:$A$14,0))</f>
        <v>2747486.9733388429</v>
      </c>
      <c r="T44" s="18">
        <f>($G44/Assumptions!$E$8+($H44/Assumptions!$E$14-$G44/Assumptions!$E$8)*(T$4-2019)/6)*INDEX(Assumptions!$E$5:$E$14,MATCH(T$4,Assumptions!$A$5:$A$14,0))</f>
        <v>2609574</v>
      </c>
    </row>
    <row r="45" spans="1:20">
      <c r="A45" s="3" t="s">
        <v>134</v>
      </c>
      <c r="B45" s="3" t="s">
        <v>94</v>
      </c>
      <c r="C45" s="14">
        <v>3653305</v>
      </c>
      <c r="D45" s="14">
        <v>5870212</v>
      </c>
      <c r="E45" s="14">
        <v>5282673</v>
      </c>
      <c r="F45" s="14">
        <v>5631851</v>
      </c>
      <c r="G45" s="15">
        <f>C45+E45</f>
        <v>8935978</v>
      </c>
      <c r="H45" s="15">
        <f>D45+F45</f>
        <v>11502063</v>
      </c>
      <c r="I45" s="10">
        <f>IFERROR((D45/C45)^(1/6)-1,0)</f>
        <v>8.2250950151733226E-2</v>
      </c>
      <c r="J45" s="10">
        <f>IFERROR((H45/G45)^(1/6)-1,0)</f>
        <v>4.2971101418897595E-2</v>
      </c>
      <c r="K45" s="15">
        <f>($G45/Assumptions!$E$8+($H45/Assumptions!$E$14-$G45/Assumptions!$E$8)*(K$4-2019)/6)*INDEX(Assumptions!$E$5:$E$14,MATCH(K$4,Assumptions!$A$5:$A$14,0))</f>
        <v>8355208.8441838641</v>
      </c>
      <c r="L45" s="15">
        <f>($G45/Assumptions!$E$8+($H45/Assumptions!$E$14-$G45/Assumptions!$E$8)*(L$4-2019)/6)*INDEX(Assumptions!$E$5:$E$14,MATCH(L$4,Assumptions!$A$5:$A$14,0))</f>
        <v>8485269.8282338381</v>
      </c>
      <c r="M45" s="15">
        <f>($G45/Assumptions!$E$8+($H45/Assumptions!$E$14-$G45/Assumptions!$E$8)*(M$4-2019)/6)*INDEX(Assumptions!$E$5:$E$14,MATCH(M$4,Assumptions!$A$5:$A$14,0))</f>
        <v>8643437.5452187043</v>
      </c>
      <c r="N45" s="15">
        <f>($G45/Assumptions!$E$8+($H45/Assumptions!$E$14-$G45/Assumptions!$E$8)*(N$4-2019)/6)*INDEX(Assumptions!$E$5:$E$14,MATCH(N$4,Assumptions!$A$5:$A$14,0))</f>
        <v>8935978</v>
      </c>
      <c r="O45" s="15">
        <f>($G45/Assumptions!$E$8+($H45/Assumptions!$E$14-$G45/Assumptions!$E$8)*(O$4-2019)/6)*INDEX(Assumptions!$E$5:$E$14,MATCH(O$4,Assumptions!$A$5:$A$14,0))</f>
        <v>9340561.167634178</v>
      </c>
      <c r="P45" s="15">
        <f>($G45/Assumptions!$E$8+($H45/Assumptions!$E$14-$G45/Assumptions!$E$8)*(P$4-2019)/6)*INDEX(Assumptions!$E$5:$E$14,MATCH(P$4,Assumptions!$A$5:$A$14,0))</f>
        <v>10095572.685926998</v>
      </c>
      <c r="Q45" s="15">
        <f>($G45/Assumptions!$E$8+($H45/Assumptions!$E$14-$G45/Assumptions!$E$8)*(Q$4-2019)/6)*INDEX(Assumptions!$E$5:$E$14,MATCH(Q$4,Assumptions!$A$5:$A$14,0))</f>
        <v>11299953.457422635</v>
      </c>
      <c r="R45" s="15">
        <f>($G45/Assumptions!$E$8+($H45/Assumptions!$E$14-$G45/Assumptions!$E$8)*(R$4-2019)/6)*INDEX(Assumptions!$E$5:$E$14,MATCH(R$4,Assumptions!$A$5:$A$14,0))</f>
        <v>11635878.289297312</v>
      </c>
      <c r="S45" s="15">
        <f>($G45/Assumptions!$E$8+($H45/Assumptions!$E$14-$G45/Assumptions!$E$8)*(S$4-2019)/6)*INDEX(Assumptions!$E$5:$E$14,MATCH(S$4,Assumptions!$A$5:$A$14,0))</f>
        <v>11481662.403695254</v>
      </c>
      <c r="T45" s="15">
        <f>($G45/Assumptions!$E$8+($H45/Assumptions!$E$14-$G45/Assumptions!$E$8)*(T$4-2019)/6)*INDEX(Assumptions!$E$5:$E$14,MATCH(T$4,Assumptions!$A$5:$A$14,0))</f>
        <v>11502063</v>
      </c>
    </row>
    <row r="46" spans="1:20">
      <c r="A46" s="16" t="s">
        <v>135</v>
      </c>
      <c r="B46" s="16" t="s">
        <v>94</v>
      </c>
      <c r="C46" s="17">
        <v>23219651</v>
      </c>
      <c r="D46" s="17">
        <v>36436509</v>
      </c>
      <c r="E46" s="17">
        <v>17461783</v>
      </c>
      <c r="F46" s="17">
        <v>21059977</v>
      </c>
      <c r="G46" s="18">
        <f>C46+E46</f>
        <v>40681434</v>
      </c>
      <c r="H46" s="18">
        <f>D46+F46</f>
        <v>57496486</v>
      </c>
      <c r="I46" s="19">
        <f>IFERROR((D46/C46)^(1/6)-1,0)</f>
        <v>7.7986971649946168E-2</v>
      </c>
      <c r="J46" s="19">
        <f>IFERROR((H46/G46)^(1/6)-1,0)</f>
        <v>5.9353343431612915E-2</v>
      </c>
      <c r="K46" s="18">
        <f>($G46/Assumptions!$E$8+($H46/Assumptions!$E$14-$G46/Assumptions!$E$8)*(K$4-2019)/6)*INDEX(Assumptions!$E$5:$E$14,MATCH(K$4,Assumptions!$A$5:$A$14,0))</f>
        <v>36266082.087899968</v>
      </c>
      <c r="L46" s="18">
        <f>($G46/Assumptions!$E$8+($H46/Assumptions!$E$14-$G46/Assumptions!$E$8)*(L$4-2019)/6)*INDEX(Assumptions!$E$5:$E$14,MATCH(L$4,Assumptions!$A$5:$A$14,0))</f>
        <v>37423588.948225491</v>
      </c>
      <c r="M46" s="18">
        <f>($G46/Assumptions!$E$8+($H46/Assumptions!$E$14-$G46/Assumptions!$E$8)*(M$4-2019)/6)*INDEX(Assumptions!$E$5:$E$14,MATCH(M$4,Assumptions!$A$5:$A$14,0))</f>
        <v>38731963.864530854</v>
      </c>
      <c r="N46" s="18">
        <f>($G46/Assumptions!$E$8+($H46/Assumptions!$E$14-$G46/Assumptions!$E$8)*(N$4-2019)/6)*INDEX(Assumptions!$E$5:$E$14,MATCH(N$4,Assumptions!$A$5:$A$14,0))</f>
        <v>40681434</v>
      </c>
      <c r="O46" s="18">
        <f>($G46/Assumptions!$E$8+($H46/Assumptions!$E$14-$G46/Assumptions!$E$8)*(O$4-2019)/6)*INDEX(Assumptions!$E$5:$E$14,MATCH(O$4,Assumptions!$A$5:$A$14,0))</f>
        <v>43198359.165572926</v>
      </c>
      <c r="P46" s="18">
        <f>($G46/Assumptions!$E$8+($H46/Assumptions!$E$14-$G46/Assumptions!$E$8)*(P$4-2019)/6)*INDEX(Assumptions!$E$5:$E$14,MATCH(P$4,Assumptions!$A$5:$A$14,0))</f>
        <v>47428063.408838734</v>
      </c>
      <c r="Q46" s="18">
        <f>($G46/Assumptions!$E$8+($H46/Assumptions!$E$14-$G46/Assumptions!$E$8)*(Q$4-2019)/6)*INDEX(Assumptions!$E$5:$E$14,MATCH(Q$4,Assumptions!$A$5:$A$14,0))</f>
        <v>53921540.903449833</v>
      </c>
      <c r="R46" s="18">
        <f>($G46/Assumptions!$E$8+($H46/Assumptions!$E$14-$G46/Assumptions!$E$8)*(R$4-2019)/6)*INDEX(Assumptions!$E$5:$E$14,MATCH(R$4,Assumptions!$A$5:$A$14,0))</f>
        <v>56394672.811226457</v>
      </c>
      <c r="S46" s="18">
        <f>($G46/Assumptions!$E$8+($H46/Assumptions!$E$14-$G46/Assumptions!$E$8)*(S$4-2019)/6)*INDEX(Assumptions!$E$5:$E$14,MATCH(S$4,Assumptions!$A$5:$A$14,0))</f>
        <v>56515816.177768327</v>
      </c>
      <c r="T46" s="18">
        <f>($G46/Assumptions!$E$8+($H46/Assumptions!$E$14-$G46/Assumptions!$E$8)*(T$4-2019)/6)*INDEX(Assumptions!$E$5:$E$14,MATCH(T$4,Assumptions!$A$5:$A$14,0))</f>
        <v>57496486</v>
      </c>
    </row>
    <row r="47" spans="1:20">
      <c r="A47" s="3" t="s">
        <v>136</v>
      </c>
      <c r="B47" s="3" t="s">
        <v>94</v>
      </c>
      <c r="C47" s="14">
        <v>68322852</v>
      </c>
      <c r="D47" s="14">
        <v>96562753</v>
      </c>
      <c r="E47" s="14">
        <v>51850146</v>
      </c>
      <c r="F47" s="14">
        <v>61903365</v>
      </c>
      <c r="G47" s="15">
        <f>C47+E47</f>
        <v>120172998</v>
      </c>
      <c r="H47" s="15">
        <f>D47+F47</f>
        <v>158466118</v>
      </c>
      <c r="I47" s="10">
        <f>IFERROR((D47/C47)^(1/6)-1,0)</f>
        <v>5.9352775303715521E-2</v>
      </c>
      <c r="J47" s="10">
        <f>IFERROR((H47/G47)^(1/6)-1,0)</f>
        <v>4.718059829008503E-2</v>
      </c>
      <c r="K47" s="15">
        <f>($G47/Assumptions!$E$8+($H47/Assumptions!$E$14-$G47/Assumptions!$E$8)*(K$4-2019)/6)*INDEX(Assumptions!$E$5:$E$14,MATCH(K$4,Assumptions!$A$5:$A$14,0))</f>
        <v>111056857.80760339</v>
      </c>
      <c r="L47" s="15">
        <f>($G47/Assumptions!$E$8+($H47/Assumptions!$E$14-$G47/Assumptions!$E$8)*(L$4-2019)/6)*INDEX(Assumptions!$E$5:$E$14,MATCH(L$4,Assumptions!$A$5:$A$14,0))</f>
        <v>113222749.16836378</v>
      </c>
      <c r="M47" s="15">
        <f>($G47/Assumptions!$E$8+($H47/Assumptions!$E$14-$G47/Assumptions!$E$8)*(M$4-2019)/6)*INDEX(Assumptions!$E$5:$E$14,MATCH(M$4,Assumptions!$A$5:$A$14,0))</f>
        <v>115783515.61296968</v>
      </c>
      <c r="N47" s="15">
        <f>($G47/Assumptions!$E$8+($H47/Assumptions!$E$14-$G47/Assumptions!$E$8)*(N$4-2019)/6)*INDEX(Assumptions!$E$5:$E$14,MATCH(N$4,Assumptions!$A$5:$A$14,0))</f>
        <v>120172998</v>
      </c>
      <c r="O47" s="15">
        <f>($G47/Assumptions!$E$8+($H47/Assumptions!$E$14-$G47/Assumptions!$E$8)*(O$4-2019)/6)*INDEX(Assumptions!$E$5:$E$14,MATCH(O$4,Assumptions!$A$5:$A$14,0))</f>
        <v>126111551.8313165</v>
      </c>
      <c r="P47" s="15">
        <f>($G47/Assumptions!$E$8+($H47/Assumptions!$E$14-$G47/Assumptions!$E$8)*(P$4-2019)/6)*INDEX(Assumptions!$E$5:$E$14,MATCH(P$4,Assumptions!$A$5:$A$14,0))</f>
        <v>136849317.01909804</v>
      </c>
      <c r="Q47" s="15">
        <f>($G47/Assumptions!$E$8+($H47/Assumptions!$E$14-$G47/Assumptions!$E$8)*(Q$4-2019)/6)*INDEX(Assumptions!$E$5:$E$14,MATCH(Q$4,Assumptions!$A$5:$A$14,0))</f>
        <v>153791004.79010135</v>
      </c>
      <c r="R47" s="15">
        <f>($G47/Assumptions!$E$8+($H47/Assumptions!$E$14-$G47/Assumptions!$E$8)*(R$4-2019)/6)*INDEX(Assumptions!$E$5:$E$14,MATCH(R$4,Assumptions!$A$5:$A$14,0))</f>
        <v>159004364.16481891</v>
      </c>
      <c r="S47" s="15">
        <f>($G47/Assumptions!$E$8+($H47/Assumptions!$E$14-$G47/Assumptions!$E$8)*(S$4-2019)/6)*INDEX(Assumptions!$E$5:$E$14,MATCH(S$4,Assumptions!$A$5:$A$14,0))</f>
        <v>157537298.00932178</v>
      </c>
      <c r="T47" s="15">
        <f>($G47/Assumptions!$E$8+($H47/Assumptions!$E$14-$G47/Assumptions!$E$8)*(T$4-2019)/6)*INDEX(Assumptions!$E$5:$E$14,MATCH(T$4,Assumptions!$A$5:$A$14,0))</f>
        <v>158466118</v>
      </c>
    </row>
    <row r="48" spans="1:20">
      <c r="A48" s="16" t="s">
        <v>137</v>
      </c>
      <c r="B48" s="16" t="s">
        <v>94</v>
      </c>
      <c r="C48" s="17">
        <v>4453254</v>
      </c>
      <c r="D48" s="17">
        <v>6882906</v>
      </c>
      <c r="E48" s="17">
        <v>7489565</v>
      </c>
      <c r="F48" s="17">
        <v>8048790</v>
      </c>
      <c r="G48" s="18">
        <f>C48+E48</f>
        <v>11942819</v>
      </c>
      <c r="H48" s="18">
        <f>D48+F48</f>
        <v>14931696</v>
      </c>
      <c r="I48" s="19">
        <f>IFERROR((D48/C48)^(1/6)-1,0)</f>
        <v>7.5265542042232125E-2</v>
      </c>
      <c r="J48" s="19">
        <f>IFERROR((H48/G48)^(1/6)-1,0)</f>
        <v>3.7927570224874696E-2</v>
      </c>
      <c r="K48" s="18">
        <f>($G48/Assumptions!$E$8+($H48/Assumptions!$E$14-$G48/Assumptions!$E$8)*(K$4-2019)/6)*INDEX(Assumptions!$E$5:$E$14,MATCH(K$4,Assumptions!$A$5:$A$14,0))</f>
        <v>11318703.941640601</v>
      </c>
      <c r="L48" s="18">
        <f>($G48/Assumptions!$E$8+($H48/Assumptions!$E$14-$G48/Assumptions!$E$8)*(L$4-2019)/6)*INDEX(Assumptions!$E$5:$E$14,MATCH(L$4,Assumptions!$A$5:$A$14,0))</f>
        <v>11443988.382377436</v>
      </c>
      <c r="M48" s="18">
        <f>($G48/Assumptions!$E$8+($H48/Assumptions!$E$14-$G48/Assumptions!$E$8)*(M$4-2019)/6)*INDEX(Assumptions!$E$5:$E$14,MATCH(M$4,Assumptions!$A$5:$A$14,0))</f>
        <v>11604870.16874405</v>
      </c>
      <c r="N48" s="18">
        <f>($G48/Assumptions!$E$8+($H48/Assumptions!$E$14-$G48/Assumptions!$E$8)*(N$4-2019)/6)*INDEX(Assumptions!$E$5:$E$14,MATCH(N$4,Assumptions!$A$5:$A$14,0))</f>
        <v>11942819.000000002</v>
      </c>
      <c r="O48" s="18">
        <f>($G48/Assumptions!$E$8+($H48/Assumptions!$E$14-$G48/Assumptions!$E$8)*(O$4-2019)/6)*INDEX(Assumptions!$E$5:$E$14,MATCH(O$4,Assumptions!$A$5:$A$14,0))</f>
        <v>12425585.67559121</v>
      </c>
      <c r="P48" s="18">
        <f>($G48/Assumptions!$E$8+($H48/Assumptions!$E$14-$G48/Assumptions!$E$8)*(P$4-2019)/6)*INDEX(Assumptions!$E$5:$E$14,MATCH(P$4,Assumptions!$A$5:$A$14,0))</f>
        <v>13366613.017399285</v>
      </c>
      <c r="Q48" s="18">
        <f>($G48/Assumptions!$E$8+($H48/Assumptions!$E$14-$G48/Assumptions!$E$8)*(Q$4-2019)/6)*INDEX(Assumptions!$E$5:$E$14,MATCH(Q$4,Assumptions!$A$5:$A$14,0))</f>
        <v>14889500.905949017</v>
      </c>
      <c r="R48" s="18">
        <f>($G48/Assumptions!$E$8+($H48/Assumptions!$E$14-$G48/Assumptions!$E$8)*(R$4-2019)/6)*INDEX(Assumptions!$E$5:$E$14,MATCH(R$4,Assumptions!$A$5:$A$14,0))</f>
        <v>15257431.67394183</v>
      </c>
      <c r="S48" s="18">
        <f>($G48/Assumptions!$E$8+($H48/Assumptions!$E$14-$G48/Assumptions!$E$8)*(S$4-2019)/6)*INDEX(Assumptions!$E$5:$E$14,MATCH(S$4,Assumptions!$A$5:$A$14,0))</f>
        <v>14980649.532135328</v>
      </c>
      <c r="T48" s="18">
        <f>($G48/Assumptions!$E$8+($H48/Assumptions!$E$14-$G48/Assumptions!$E$8)*(T$4-2019)/6)*INDEX(Assumptions!$E$5:$E$14,MATCH(T$4,Assumptions!$A$5:$A$14,0))</f>
        <v>14931696</v>
      </c>
    </row>
    <row r="49" spans="1:20">
      <c r="A49" s="3" t="s">
        <v>138</v>
      </c>
      <c r="B49" s="3" t="s">
        <v>94</v>
      </c>
      <c r="C49" s="14">
        <v>129610</v>
      </c>
      <c r="D49" s="14">
        <v>235375</v>
      </c>
      <c r="E49" s="14">
        <v>223545</v>
      </c>
      <c r="F49" s="14">
        <v>257040</v>
      </c>
      <c r="G49" s="15">
        <f>C49+E49</f>
        <v>353155</v>
      </c>
      <c r="H49" s="15">
        <f>D49+F49</f>
        <v>492415</v>
      </c>
      <c r="I49" s="10">
        <f>IFERROR((D49/C49)^(1/6)-1,0)</f>
        <v>0.10455404492578158</v>
      </c>
      <c r="J49" s="10">
        <f>IFERROR((H49/G49)^(1/6)-1,0)</f>
        <v>5.6965923135594343E-2</v>
      </c>
      <c r="K49" s="15">
        <f>($G49/Assumptions!$E$8+($H49/Assumptions!$E$14-$G49/Assumptions!$E$8)*(K$4-2019)/6)*INDEX(Assumptions!$E$5:$E$14,MATCH(K$4,Assumptions!$A$5:$A$14,0))</f>
        <v>317141.48185911373</v>
      </c>
      <c r="L49" s="15">
        <f>($G49/Assumptions!$E$8+($H49/Assumptions!$E$14-$G49/Assumptions!$E$8)*(L$4-2019)/6)*INDEX(Assumptions!$E$5:$E$14,MATCH(L$4,Assumptions!$A$5:$A$14,0))</f>
        <v>326450.5183209143</v>
      </c>
      <c r="M49" s="15">
        <f>($G49/Assumptions!$E$8+($H49/Assumptions!$E$14-$G49/Assumptions!$E$8)*(M$4-2019)/6)*INDEX(Assumptions!$E$5:$E$14,MATCH(M$4,Assumptions!$A$5:$A$14,0))</f>
        <v>337039.2821111604</v>
      </c>
      <c r="N49" s="15">
        <f>($G49/Assumptions!$E$8+($H49/Assumptions!$E$14-$G49/Assumptions!$E$8)*(N$4-2019)/6)*INDEX(Assumptions!$E$5:$E$14,MATCH(N$4,Assumptions!$A$5:$A$14,0))</f>
        <v>353155</v>
      </c>
      <c r="O49" s="15">
        <f>($G49/Assumptions!$E$8+($H49/Assumptions!$E$14-$G49/Assumptions!$E$8)*(O$4-2019)/6)*INDEX(Assumptions!$E$5:$E$14,MATCH(O$4,Assumptions!$A$5:$A$14,0))</f>
        <v>374121.76827339461</v>
      </c>
      <c r="P49" s="15">
        <f>($G49/Assumptions!$E$8+($H49/Assumptions!$E$14-$G49/Assumptions!$E$8)*(P$4-2019)/6)*INDEX(Assumptions!$E$5:$E$14,MATCH(P$4,Assumptions!$A$5:$A$14,0))</f>
        <v>409803.59709829913</v>
      </c>
      <c r="Q49" s="15">
        <f>($G49/Assumptions!$E$8+($H49/Assumptions!$E$14-$G49/Assumptions!$E$8)*(Q$4-2019)/6)*INDEX(Assumptions!$E$5:$E$14,MATCH(Q$4,Assumptions!$A$5:$A$14,0))</f>
        <v>464852.17452223419</v>
      </c>
      <c r="R49" s="15">
        <f>($G49/Assumptions!$E$8+($H49/Assumptions!$E$14-$G49/Assumptions!$E$8)*(R$4-2019)/6)*INDEX(Assumptions!$E$5:$E$14,MATCH(R$4,Assumptions!$A$5:$A$14,0))</f>
        <v>485087.34503117146</v>
      </c>
      <c r="S49" s="15">
        <f>($G49/Assumptions!$E$8+($H49/Assumptions!$E$14-$G49/Assumptions!$E$8)*(S$4-2019)/6)*INDEX(Assumptions!$E$5:$E$14,MATCH(S$4,Assumptions!$A$5:$A$14,0))</f>
        <v>485062.62127682939</v>
      </c>
      <c r="T49" s="15">
        <f>($G49/Assumptions!$E$8+($H49/Assumptions!$E$14-$G49/Assumptions!$E$8)*(T$4-2019)/6)*INDEX(Assumptions!$E$5:$E$14,MATCH(T$4,Assumptions!$A$5:$A$14,0))</f>
        <v>492415.00000000006</v>
      </c>
    </row>
    <row r="50" spans="1:20">
      <c r="A50" s="16" t="s">
        <v>139</v>
      </c>
      <c r="B50" s="16" t="s">
        <v>94</v>
      </c>
      <c r="C50" s="17">
        <v>3001635</v>
      </c>
      <c r="D50" s="17">
        <v>5890894</v>
      </c>
      <c r="E50" s="17">
        <v>5605752</v>
      </c>
      <c r="F50" s="17">
        <v>7470451</v>
      </c>
      <c r="G50" s="18">
        <f>C50+E50</f>
        <v>8607387</v>
      </c>
      <c r="H50" s="18">
        <f>D50+F50</f>
        <v>13361345</v>
      </c>
      <c r="I50" s="19">
        <f>IFERROR((D50/C50)^(1/6)-1,0)</f>
        <v>0.11893249885335133</v>
      </c>
      <c r="J50" s="19">
        <f>IFERROR((H50/G50)^(1/6)-1,0)</f>
        <v>7.6043449434071153E-2</v>
      </c>
      <c r="K50" s="18">
        <f>($G50/Assumptions!$E$8+($H50/Assumptions!$E$14-$G50/Assumptions!$E$8)*(K$4-2019)/6)*INDEX(Assumptions!$E$5:$E$14,MATCH(K$4,Assumptions!$A$5:$A$14,0))</f>
        <v>7260360.8007474402</v>
      </c>
      <c r="L50" s="18">
        <f>($G50/Assumptions!$E$8+($H50/Assumptions!$E$14-$G50/Assumptions!$E$8)*(L$4-2019)/6)*INDEX(Assumptions!$E$5:$E$14,MATCH(L$4,Assumptions!$A$5:$A$14,0))</f>
        <v>7637034.4511756822</v>
      </c>
      <c r="M50" s="18">
        <f>($G50/Assumptions!$E$8+($H50/Assumptions!$E$14-$G50/Assumptions!$E$8)*(M$4-2019)/6)*INDEX(Assumptions!$E$5:$E$14,MATCH(M$4,Assumptions!$A$5:$A$14,0))</f>
        <v>8050968.2673811242</v>
      </c>
      <c r="N50" s="18">
        <f>($G50/Assumptions!$E$8+($H50/Assumptions!$E$14-$G50/Assumptions!$E$8)*(N$4-2019)/6)*INDEX(Assumptions!$E$5:$E$14,MATCH(N$4,Assumptions!$A$5:$A$14,0))</f>
        <v>8607387</v>
      </c>
      <c r="O50" s="18">
        <f>($G50/Assumptions!$E$8+($H50/Assumptions!$E$14-$G50/Assumptions!$E$8)*(O$4-2019)/6)*INDEX(Assumptions!$E$5:$E$14,MATCH(O$4,Assumptions!$A$5:$A$14,0))</f>
        <v>9297239.5882681254</v>
      </c>
      <c r="P50" s="18">
        <f>($G50/Assumptions!$E$8+($H50/Assumptions!$E$14-$G50/Assumptions!$E$8)*(P$4-2019)/6)*INDEX(Assumptions!$E$5:$E$14,MATCH(P$4,Assumptions!$A$5:$A$14,0))</f>
        <v>10376851.824837938</v>
      </c>
      <c r="Q50" s="18">
        <f>($G50/Assumptions!$E$8+($H50/Assumptions!$E$14-$G50/Assumptions!$E$8)*(Q$4-2019)/6)*INDEX(Assumptions!$E$5:$E$14,MATCH(Q$4,Assumptions!$A$5:$A$14,0))</f>
        <v>11986239.354364924</v>
      </c>
      <c r="R50" s="18">
        <f>($G50/Assumptions!$E$8+($H50/Assumptions!$E$14-$G50/Assumptions!$E$8)*(R$4-2019)/6)*INDEX(Assumptions!$E$5:$E$14,MATCH(R$4,Assumptions!$A$5:$A$14,0))</f>
        <v>12729465.534508821</v>
      </c>
      <c r="S50" s="18">
        <f>($G50/Assumptions!$E$8+($H50/Assumptions!$E$14-$G50/Assumptions!$E$8)*(S$4-2019)/6)*INDEX(Assumptions!$E$5:$E$14,MATCH(S$4,Assumptions!$A$5:$A$14,0))</f>
        <v>12946950.8934434</v>
      </c>
      <c r="T50" s="18">
        <f>($G50/Assumptions!$E$8+($H50/Assumptions!$E$14-$G50/Assumptions!$E$8)*(T$4-2019)/6)*INDEX(Assumptions!$E$5:$E$14,MATCH(T$4,Assumptions!$A$5:$A$14,0))</f>
        <v>13361345</v>
      </c>
    </row>
    <row r="51" spans="1:20">
      <c r="A51" s="3" t="s">
        <v>140</v>
      </c>
      <c r="B51" s="3" t="s">
        <v>94</v>
      </c>
      <c r="C51" s="14">
        <v>11164276</v>
      </c>
      <c r="D51" s="14">
        <v>15682975</v>
      </c>
      <c r="E51" s="14">
        <v>10808471</v>
      </c>
      <c r="F51" s="14">
        <v>13326732</v>
      </c>
      <c r="G51" s="15">
        <f>C51+E51</f>
        <v>21972747</v>
      </c>
      <c r="H51" s="15">
        <f>D51+F51</f>
        <v>29009707</v>
      </c>
      <c r="I51" s="10">
        <f>IFERROR((D51/C51)^(1/6)-1,0)</f>
        <v>5.827770691120393E-2</v>
      </c>
      <c r="J51" s="10">
        <f>IFERROR((H51/G51)^(1/6)-1,0)</f>
        <v>4.7393395852989739E-2</v>
      </c>
      <c r="K51" s="15">
        <f>($G51/Assumptions!$E$8+($H51/Assumptions!$E$14-$G51/Assumptions!$E$8)*(K$4-2019)/6)*INDEX(Assumptions!$E$5:$E$14,MATCH(K$4,Assumptions!$A$5:$A$14,0))</f>
        <v>20293730.087885551</v>
      </c>
      <c r="L51" s="15">
        <f>($G51/Assumptions!$E$8+($H51/Assumptions!$E$14-$G51/Assumptions!$E$8)*(L$4-2019)/6)*INDEX(Assumptions!$E$5:$E$14,MATCH(L$4,Assumptions!$A$5:$A$14,0))</f>
        <v>20693640.751357347</v>
      </c>
      <c r="M51" s="15">
        <f>($G51/Assumptions!$E$8+($H51/Assumptions!$E$14-$G51/Assumptions!$E$8)*(M$4-2019)/6)*INDEX(Assumptions!$E$5:$E$14,MATCH(M$4,Assumptions!$A$5:$A$14,0))</f>
        <v>21165909.180514246</v>
      </c>
      <c r="N51" s="15">
        <f>($G51/Assumptions!$E$8+($H51/Assumptions!$E$14-$G51/Assumptions!$E$8)*(N$4-2019)/6)*INDEX(Assumptions!$E$5:$E$14,MATCH(N$4,Assumptions!$A$5:$A$14,0))</f>
        <v>21972747.000000004</v>
      </c>
      <c r="O51" s="15">
        <f>($G51/Assumptions!$E$8+($H51/Assumptions!$E$14-$G51/Assumptions!$E$8)*(O$4-2019)/6)*INDEX(Assumptions!$E$5:$E$14,MATCH(O$4,Assumptions!$A$5:$A$14,0))</f>
        <v>23063216.21071453</v>
      </c>
      <c r="P51" s="15">
        <f>($G51/Assumptions!$E$8+($H51/Assumptions!$E$14-$G51/Assumptions!$E$8)*(P$4-2019)/6)*INDEX(Assumptions!$E$5:$E$14,MATCH(P$4,Assumptions!$A$5:$A$14,0))</f>
        <v>25031994.54110685</v>
      </c>
      <c r="Q51" s="15">
        <f>($G51/Assumptions!$E$8+($H51/Assumptions!$E$14-$G51/Assumptions!$E$8)*(Q$4-2019)/6)*INDEX(Assumptions!$E$5:$E$14,MATCH(Q$4,Assumptions!$A$5:$A$14,0))</f>
        <v>28136615.561742738</v>
      </c>
      <c r="R51" s="15">
        <f>($G51/Assumptions!$E$8+($H51/Assumptions!$E$14-$G51/Assumptions!$E$8)*(R$4-2019)/6)*INDEX(Assumptions!$E$5:$E$14,MATCH(R$4,Assumptions!$A$5:$A$14,0))</f>
        <v>29096339.135213375</v>
      </c>
      <c r="S51" s="15">
        <f>($G51/Assumptions!$E$8+($H51/Assumptions!$E$14-$G51/Assumptions!$E$8)*(S$4-2019)/6)*INDEX(Assumptions!$E$5:$E$14,MATCH(S$4,Assumptions!$A$5:$A$14,0))</f>
        <v>28833765.663008027</v>
      </c>
      <c r="T51" s="15">
        <f>($G51/Assumptions!$E$8+($H51/Assumptions!$E$14-$G51/Assumptions!$E$8)*(T$4-2019)/6)*INDEX(Assumptions!$E$5:$E$14,MATCH(T$4,Assumptions!$A$5:$A$14,0))</f>
        <v>29009706.999999996</v>
      </c>
    </row>
    <row r="52" spans="1:20">
      <c r="A52" s="16" t="s">
        <v>141</v>
      </c>
      <c r="B52" s="16" t="s">
        <v>94</v>
      </c>
      <c r="C52" s="17">
        <v>2588925</v>
      </c>
      <c r="D52" s="17">
        <v>4742017</v>
      </c>
      <c r="E52" s="17">
        <v>4497818</v>
      </c>
      <c r="F52" s="17">
        <v>5948355</v>
      </c>
      <c r="G52" s="18">
        <f>C52+E52</f>
        <v>7086743</v>
      </c>
      <c r="H52" s="18">
        <f>D52+F52</f>
        <v>10690372</v>
      </c>
      <c r="I52" s="19">
        <f>IFERROR((D52/C52)^(1/6)-1,0)</f>
        <v>0.10613280583252904</v>
      </c>
      <c r="J52" s="19">
        <f>IFERROR((H52/G52)^(1/6)-1,0)</f>
        <v>7.0921626895986689E-2</v>
      </c>
      <c r="K52" s="18">
        <f>($G52/Assumptions!$E$8+($H52/Assumptions!$E$14-$G52/Assumptions!$E$8)*(K$4-2019)/6)*INDEX(Assumptions!$E$5:$E$14,MATCH(K$4,Assumptions!$A$5:$A$14,0))</f>
        <v>6084834.0273071965</v>
      </c>
      <c r="L52" s="18">
        <f>($G52/Assumptions!$E$8+($H52/Assumptions!$E$14-$G52/Assumptions!$E$8)*(L$4-2019)/6)*INDEX(Assumptions!$E$5:$E$14,MATCH(L$4,Assumptions!$A$5:$A$14,0))</f>
        <v>6360763.5877502579</v>
      </c>
      <c r="M52" s="18">
        <f>($G52/Assumptions!$E$8+($H52/Assumptions!$E$14-$G52/Assumptions!$E$8)*(M$4-2019)/6)*INDEX(Assumptions!$E$5:$E$14,MATCH(M$4,Assumptions!$A$5:$A$14,0))</f>
        <v>6665984.8921270631</v>
      </c>
      <c r="N52" s="18">
        <f>($G52/Assumptions!$E$8+($H52/Assumptions!$E$14-$G52/Assumptions!$E$8)*(N$4-2019)/6)*INDEX(Assumptions!$E$5:$E$14,MATCH(N$4,Assumptions!$A$5:$A$14,0))</f>
        <v>7086743.0000000009</v>
      </c>
      <c r="O52" s="18">
        <f>($G52/Assumptions!$E$8+($H52/Assumptions!$E$14-$G52/Assumptions!$E$8)*(O$4-2019)/6)*INDEX(Assumptions!$E$5:$E$14,MATCH(O$4,Assumptions!$A$5:$A$14,0))</f>
        <v>7613891.1924924087</v>
      </c>
      <c r="P52" s="18">
        <f>($G52/Assumptions!$E$8+($H52/Assumptions!$E$14-$G52/Assumptions!$E$8)*(P$4-2019)/6)*INDEX(Assumptions!$E$5:$E$14,MATCH(P$4,Assumptions!$A$5:$A$14,0))</f>
        <v>8454837.9617373403</v>
      </c>
      <c r="Q52" s="18">
        <f>($G52/Assumptions!$E$8+($H52/Assumptions!$E$14-$G52/Assumptions!$E$8)*(Q$4-2019)/6)*INDEX(Assumptions!$E$5:$E$14,MATCH(Q$4,Assumptions!$A$5:$A$14,0))</f>
        <v>9718780.3036245517</v>
      </c>
      <c r="R52" s="18">
        <f>($G52/Assumptions!$E$8+($H52/Assumptions!$E$14-$G52/Assumptions!$E$8)*(R$4-2019)/6)*INDEX(Assumptions!$E$5:$E$14,MATCH(R$4,Assumptions!$A$5:$A$14,0))</f>
        <v>10273615.733279968</v>
      </c>
      <c r="S52" s="18">
        <f>($G52/Assumptions!$E$8+($H52/Assumptions!$E$14-$G52/Assumptions!$E$8)*(S$4-2019)/6)*INDEX(Assumptions!$E$5:$E$14,MATCH(S$4,Assumptions!$A$5:$A$14,0))</f>
        <v>10402886.141973699</v>
      </c>
      <c r="T52" s="18">
        <f>($G52/Assumptions!$E$8+($H52/Assumptions!$E$14-$G52/Assumptions!$E$8)*(T$4-2019)/6)*INDEX(Assumptions!$E$5:$E$14,MATCH(T$4,Assumptions!$A$5:$A$14,0))</f>
        <v>10690372</v>
      </c>
    </row>
    <row r="53" spans="1:20">
      <c r="A53" s="3" t="s">
        <v>142</v>
      </c>
      <c r="B53" s="3" t="s">
        <v>94</v>
      </c>
      <c r="C53" s="14">
        <v>1384961</v>
      </c>
      <c r="D53" s="14">
        <v>2420693</v>
      </c>
      <c r="E53" s="14">
        <v>2707829</v>
      </c>
      <c r="F53" s="14">
        <v>3370287</v>
      </c>
      <c r="G53" s="15">
        <f>C53+E53</f>
        <v>4092790</v>
      </c>
      <c r="H53" s="15">
        <f>D53+F53</f>
        <v>5790980</v>
      </c>
      <c r="I53" s="10">
        <f>IFERROR((D53/C53)^(1/6)-1,0)</f>
        <v>9.7531587713552526E-2</v>
      </c>
      <c r="J53" s="10">
        <f>IFERROR((H53/G53)^(1/6)-1,0)</f>
        <v>5.9551572975862888E-2</v>
      </c>
      <c r="K53" s="15">
        <f>($G53/Assumptions!$E$8+($H53/Assumptions!$E$14-$G53/Assumptions!$E$8)*(K$4-2019)/6)*INDEX(Assumptions!$E$5:$E$14,MATCH(K$4,Assumptions!$A$5:$A$14,0))</f>
        <v>3646337.4650051515</v>
      </c>
      <c r="L53" s="15">
        <f>($G53/Assumptions!$E$8+($H53/Assumptions!$E$14-$G53/Assumptions!$E$8)*(L$4-2019)/6)*INDEX(Assumptions!$E$5:$E$14,MATCH(L$4,Assumptions!$A$5:$A$14,0))</f>
        <v>3763505.1403805362</v>
      </c>
      <c r="M53" s="15">
        <f>($G53/Assumptions!$E$8+($H53/Assumptions!$E$14-$G53/Assumptions!$E$8)*(M$4-2019)/6)*INDEX(Assumptions!$E$5:$E$14,MATCH(M$4,Assumptions!$A$5:$A$14,0))</f>
        <v>3895880.0260833944</v>
      </c>
      <c r="N53" s="15">
        <f>($G53/Assumptions!$E$8+($H53/Assumptions!$E$14-$G53/Assumptions!$E$8)*(N$4-2019)/6)*INDEX(Assumptions!$E$5:$E$14,MATCH(N$4,Assumptions!$A$5:$A$14,0))</f>
        <v>4092790</v>
      </c>
      <c r="O53" s="15">
        <f>($G53/Assumptions!$E$8+($H53/Assumptions!$E$14-$G53/Assumptions!$E$8)*(O$4-2019)/6)*INDEX(Assumptions!$E$5:$E$14,MATCH(O$4,Assumptions!$A$5:$A$14,0))</f>
        <v>4346861.8961971598</v>
      </c>
      <c r="P53" s="15">
        <f>($G53/Assumptions!$E$8+($H53/Assumptions!$E$14-$G53/Assumptions!$E$8)*(P$4-2019)/6)*INDEX(Assumptions!$E$5:$E$14,MATCH(P$4,Assumptions!$A$5:$A$14,0))</f>
        <v>4773398.0388875064</v>
      </c>
      <c r="Q53" s="15">
        <f>($G53/Assumptions!$E$8+($H53/Assumptions!$E$14-$G53/Assumptions!$E$8)*(Q$4-2019)/6)*INDEX(Assumptions!$E$5:$E$14,MATCH(Q$4,Assumptions!$A$5:$A$14,0))</f>
        <v>5427958.9594827546</v>
      </c>
      <c r="R53" s="15">
        <f>($G53/Assumptions!$E$8+($H53/Assumptions!$E$14-$G53/Assumptions!$E$8)*(R$4-2019)/6)*INDEX(Assumptions!$E$5:$E$14,MATCH(R$4,Assumptions!$A$5:$A$14,0))</f>
        <v>5677965.2344894819</v>
      </c>
      <c r="S53" s="15">
        <f>($G53/Assumptions!$E$8+($H53/Assumptions!$E$14-$G53/Assumptions!$E$8)*(S$4-2019)/6)*INDEX(Assumptions!$E$5:$E$14,MATCH(S$4,Assumptions!$A$5:$A$14,0))</f>
        <v>5691195.0518422285</v>
      </c>
      <c r="T53" s="15">
        <f>($G53/Assumptions!$E$8+($H53/Assumptions!$E$14-$G53/Assumptions!$E$8)*(T$4-2019)/6)*INDEX(Assumptions!$E$5:$E$14,MATCH(T$4,Assumptions!$A$5:$A$14,0))</f>
        <v>5790980</v>
      </c>
    </row>
    <row r="54" spans="1:20">
      <c r="A54" s="16" t="s">
        <v>143</v>
      </c>
      <c r="B54" s="16" t="s">
        <v>94</v>
      </c>
      <c r="C54" s="17">
        <v>224598</v>
      </c>
      <c r="D54" s="17">
        <v>454340</v>
      </c>
      <c r="E54" s="17">
        <v>921918</v>
      </c>
      <c r="F54" s="17">
        <v>958144</v>
      </c>
      <c r="G54" s="18">
        <f>C54+E54</f>
        <v>1146516</v>
      </c>
      <c r="H54" s="18">
        <f>D54+F54</f>
        <v>1412484</v>
      </c>
      <c r="I54" s="19">
        <f>IFERROR((D54/C54)^(1/6)-1,0)</f>
        <v>0.12459422287605593</v>
      </c>
      <c r="J54" s="19">
        <f>IFERROR((H54/G54)^(1/6)-1,0)</f>
        <v>3.5381902210270155E-2</v>
      </c>
      <c r="K54" s="18">
        <f>($G54/Assumptions!$E$8+($H54/Assumptions!$E$14-$G54/Assumptions!$E$8)*(K$4-2019)/6)*INDEX(Assumptions!$E$5:$E$14,MATCH(K$4,Assumptions!$A$5:$A$14,0))</f>
        <v>1093836.0140534088</v>
      </c>
      <c r="L54" s="18">
        <f>($G54/Assumptions!$E$8+($H54/Assumptions!$E$14-$G54/Assumptions!$E$8)*(L$4-2019)/6)*INDEX(Assumptions!$E$5:$E$14,MATCH(L$4,Assumptions!$A$5:$A$14,0))</f>
        <v>1103553.9553576056</v>
      </c>
      <c r="M54" s="18">
        <f>($G54/Assumptions!$E$8+($H54/Assumptions!$E$14-$G54/Assumptions!$E$8)*(M$4-2019)/6)*INDEX(Assumptions!$E$5:$E$14,MATCH(M$4,Assumptions!$A$5:$A$14,0))</f>
        <v>1116595.6761588242</v>
      </c>
      <c r="N54" s="18">
        <f>($G54/Assumptions!$E$8+($H54/Assumptions!$E$14-$G54/Assumptions!$E$8)*(N$4-2019)/6)*INDEX(Assumptions!$E$5:$E$14,MATCH(N$4,Assumptions!$A$5:$A$14,0))</f>
        <v>1146516</v>
      </c>
      <c r="O54" s="18">
        <f>($G54/Assumptions!$E$8+($H54/Assumptions!$E$14-$G54/Assumptions!$E$8)*(O$4-2019)/6)*INDEX(Assumptions!$E$5:$E$14,MATCH(O$4,Assumptions!$A$5:$A$14,0))</f>
        <v>1190104.5460925715</v>
      </c>
      <c r="P54" s="18">
        <f>($G54/Assumptions!$E$8+($H54/Assumptions!$E$14-$G54/Assumptions!$E$8)*(P$4-2019)/6)*INDEX(Assumptions!$E$5:$E$14,MATCH(P$4,Assumptions!$A$5:$A$14,0))</f>
        <v>1277206.6340041743</v>
      </c>
      <c r="Q54" s="18">
        <f>($G54/Assumptions!$E$8+($H54/Assumptions!$E$14-$G54/Assumptions!$E$8)*(Q$4-2019)/6)*INDEX(Assumptions!$E$5:$E$14,MATCH(Q$4,Assumptions!$A$5:$A$14,0))</f>
        <v>1419277.1559500138</v>
      </c>
      <c r="R54" s="18">
        <f>($G54/Assumptions!$E$8+($H54/Assumptions!$E$14-$G54/Assumptions!$E$8)*(R$4-2019)/6)*INDEX(Assumptions!$E$5:$E$14,MATCH(R$4,Assumptions!$A$5:$A$14,0))</f>
        <v>1450743.5598346039</v>
      </c>
      <c r="S54" s="18">
        <f>($G54/Assumptions!$E$8+($H54/Assumptions!$E$14-$G54/Assumptions!$E$8)*(S$4-2019)/6)*INDEX(Assumptions!$E$5:$E$14,MATCH(S$4,Assumptions!$A$5:$A$14,0))</f>
        <v>1420809.8411291344</v>
      </c>
      <c r="T54" s="18">
        <f>($G54/Assumptions!$E$8+($H54/Assumptions!$E$14-$G54/Assumptions!$E$8)*(T$4-2019)/6)*INDEX(Assumptions!$E$5:$E$14,MATCH(T$4,Assumptions!$A$5:$A$14,0))</f>
        <v>1412484</v>
      </c>
    </row>
    <row r="55" spans="1:20">
      <c r="A55" s="3" t="s">
        <v>144</v>
      </c>
      <c r="B55" s="3" t="s">
        <v>94</v>
      </c>
      <c r="C55" s="14">
        <v>1831938</v>
      </c>
      <c r="D55" s="14">
        <v>2948880</v>
      </c>
      <c r="E55" s="14">
        <v>1184624</v>
      </c>
      <c r="F55" s="14">
        <v>1318766</v>
      </c>
      <c r="G55" s="15">
        <f>C55+E55</f>
        <v>3016562</v>
      </c>
      <c r="H55" s="15">
        <f>D55+F55</f>
        <v>4267646</v>
      </c>
      <c r="I55" s="10">
        <f>IFERROR((D55/C55)^(1/6)-1,0)</f>
        <v>8.2574321407187234E-2</v>
      </c>
      <c r="J55" s="10">
        <f>IFERROR((H55/G55)^(1/6)-1,0)</f>
        <v>5.952861085989869E-2</v>
      </c>
      <c r="K55" s="15">
        <f>($G55/Assumptions!$E$8+($H55/Assumptions!$E$14-$G55/Assumptions!$E$8)*(K$4-2019)/6)*INDEX(Assumptions!$E$5:$E$14,MATCH(K$4,Assumptions!$A$5:$A$14,0))</f>
        <v>2687698.8287883932</v>
      </c>
      <c r="L55" s="15">
        <f>($G55/Assumptions!$E$8+($H55/Assumptions!$E$14-$G55/Assumptions!$E$8)*(L$4-2019)/6)*INDEX(Assumptions!$E$5:$E$14,MATCH(L$4,Assumptions!$A$5:$A$14,0))</f>
        <v>2773995.3067242024</v>
      </c>
      <c r="M55" s="15">
        <f>($G55/Assumptions!$E$8+($H55/Assumptions!$E$14-$G55/Assumptions!$E$8)*(M$4-2019)/6)*INDEX(Assumptions!$E$5:$E$14,MATCH(M$4,Assumptions!$A$5:$A$14,0))</f>
        <v>2871497.6746423426</v>
      </c>
      <c r="N55" s="15">
        <f>($G55/Assumptions!$E$8+($H55/Assumptions!$E$14-$G55/Assumptions!$E$8)*(N$4-2019)/6)*INDEX(Assumptions!$E$5:$E$14,MATCH(N$4,Assumptions!$A$5:$A$14,0))</f>
        <v>3016562.0000000005</v>
      </c>
      <c r="O55" s="15">
        <f>($G55/Assumptions!$E$8+($H55/Assumptions!$E$14-$G55/Assumptions!$E$8)*(O$4-2019)/6)*INDEX(Assumptions!$E$5:$E$14,MATCH(O$4,Assumptions!$A$5:$A$14,0))</f>
        <v>3203750.9135308005</v>
      </c>
      <c r="P55" s="15">
        <f>($G55/Assumptions!$E$8+($H55/Assumptions!$E$14-$G55/Assumptions!$E$8)*(P$4-2019)/6)*INDEX(Assumptions!$E$5:$E$14,MATCH(P$4,Assumptions!$A$5:$A$14,0))</f>
        <v>3518040.6859964705</v>
      </c>
      <c r="Q55" s="15">
        <f>($G55/Assumptions!$E$8+($H55/Assumptions!$E$14-$G55/Assumptions!$E$8)*(Q$4-2019)/6)*INDEX(Assumptions!$E$5:$E$14,MATCH(Q$4,Assumptions!$A$5:$A$14,0))</f>
        <v>4000370.9424987556</v>
      </c>
      <c r="R55" s="15">
        <f>($G55/Assumptions!$E$8+($H55/Assumptions!$E$14-$G55/Assumptions!$E$8)*(R$4-2019)/6)*INDEX(Assumptions!$E$5:$E$14,MATCH(R$4,Assumptions!$A$5:$A$14,0))</f>
        <v>4184534.2585310098</v>
      </c>
      <c r="S55" s="15">
        <f>($G55/Assumptions!$E$8+($H55/Assumptions!$E$14-$G55/Assumptions!$E$8)*(S$4-2019)/6)*INDEX(Assumptions!$E$5:$E$14,MATCH(S$4,Assumptions!$A$5:$A$14,0))</f>
        <v>4194196.1959900842</v>
      </c>
      <c r="T55" s="15">
        <f>($G55/Assumptions!$E$8+($H55/Assumptions!$E$14-$G55/Assumptions!$E$8)*(T$4-2019)/6)*INDEX(Assumptions!$E$5:$E$14,MATCH(T$4,Assumptions!$A$5:$A$14,0))</f>
        <v>4267646</v>
      </c>
    </row>
    <row r="56" spans="1:20">
      <c r="A56" s="16" t="s">
        <v>145</v>
      </c>
      <c r="B56" s="16" t="s">
        <v>94</v>
      </c>
      <c r="C56" s="17">
        <v>1365780</v>
      </c>
      <c r="D56" s="17">
        <v>2167397</v>
      </c>
      <c r="E56" s="17">
        <v>3334407</v>
      </c>
      <c r="F56" s="17">
        <v>3597594</v>
      </c>
      <c r="G56" s="18">
        <f>C56+E56</f>
        <v>4700187</v>
      </c>
      <c r="H56" s="18">
        <f>D56+F56</f>
        <v>5764991</v>
      </c>
      <c r="I56" s="19">
        <f>IFERROR((D56/C56)^(1/6)-1,0)</f>
        <v>8.0006294174984838E-2</v>
      </c>
      <c r="J56" s="19">
        <f>IFERROR((H56/G56)^(1/6)-1,0)</f>
        <v>3.461931717843858E-2</v>
      </c>
      <c r="K56" s="18">
        <f>($G56/Assumptions!$E$8+($H56/Assumptions!$E$14-$G56/Assumptions!$E$8)*(K$4-2019)/6)*INDEX(Assumptions!$E$5:$E$14,MATCH(K$4,Assumptions!$A$5:$A$14,0))</f>
        <v>4493038.1133192359</v>
      </c>
      <c r="L56" s="18">
        <f>($G56/Assumptions!$E$8+($H56/Assumptions!$E$14-$G56/Assumptions!$E$8)*(L$4-2019)/6)*INDEX(Assumptions!$E$5:$E$14,MATCH(L$4,Assumptions!$A$5:$A$14,0))</f>
        <v>4530063.6393828755</v>
      </c>
      <c r="M56" s="18">
        <f>($G56/Assumptions!$E$8+($H56/Assumptions!$E$14-$G56/Assumptions!$E$8)*(M$4-2019)/6)*INDEX(Assumptions!$E$5:$E$14,MATCH(M$4,Assumptions!$A$5:$A$14,0))</f>
        <v>4580601.1189834019</v>
      </c>
      <c r="N56" s="18">
        <f>($G56/Assumptions!$E$8+($H56/Assumptions!$E$14-$G56/Assumptions!$E$8)*(N$4-2019)/6)*INDEX(Assumptions!$E$5:$E$14,MATCH(N$4,Assumptions!$A$5:$A$14,0))</f>
        <v>4700187</v>
      </c>
      <c r="O56" s="18">
        <f>($G56/Assumptions!$E$8+($H56/Assumptions!$E$14-$G56/Assumptions!$E$8)*(O$4-2019)/6)*INDEX(Assumptions!$E$5:$E$14,MATCH(O$4,Assumptions!$A$5:$A$14,0))</f>
        <v>4875520.7761688689</v>
      </c>
      <c r="P56" s="18">
        <f>($G56/Assumptions!$E$8+($H56/Assumptions!$E$14-$G56/Assumptions!$E$8)*(P$4-2019)/6)*INDEX(Assumptions!$E$5:$E$14,MATCH(P$4,Assumptions!$A$5:$A$14,0))</f>
        <v>5228655.6106882058</v>
      </c>
      <c r="Q56" s="18">
        <f>($G56/Assumptions!$E$8+($H56/Assumptions!$E$14-$G56/Assumptions!$E$8)*(Q$4-2019)/6)*INDEX(Assumptions!$E$5:$E$14,MATCH(Q$4,Assumptions!$A$5:$A$14,0))</f>
        <v>5806050.8639836926</v>
      </c>
      <c r="R56" s="18">
        <f>($G56/Assumptions!$E$8+($H56/Assumptions!$E$14-$G56/Assumptions!$E$8)*(R$4-2019)/6)*INDEX(Assumptions!$E$5:$E$14,MATCH(R$4,Assumptions!$A$5:$A$14,0))</f>
        <v>5930351.9506572476</v>
      </c>
      <c r="S56" s="18">
        <f>($G56/Assumptions!$E$8+($H56/Assumptions!$E$14-$G56/Assumptions!$E$8)*(S$4-2019)/6)*INDEX(Assumptions!$E$5:$E$14,MATCH(S$4,Assumptions!$A$5:$A$14,0))</f>
        <v>5803540.9829845401</v>
      </c>
      <c r="T56" s="18">
        <f>($G56/Assumptions!$E$8+($H56/Assumptions!$E$14-$G56/Assumptions!$E$8)*(T$4-2019)/6)*INDEX(Assumptions!$E$5:$E$14,MATCH(T$4,Assumptions!$A$5:$A$14,0))</f>
        <v>5764991</v>
      </c>
    </row>
    <row r="57" spans="1:20">
      <c r="A57" s="3" t="s">
        <v>146</v>
      </c>
      <c r="B57" s="3" t="s">
        <v>94</v>
      </c>
      <c r="C57" s="14">
        <v>84955148</v>
      </c>
      <c r="D57" s="14">
        <v>121012103</v>
      </c>
      <c r="E57" s="14">
        <v>76941005</v>
      </c>
      <c r="F57" s="14">
        <v>100035371</v>
      </c>
      <c r="G57" s="15">
        <f>C57+E57</f>
        <v>161896153</v>
      </c>
      <c r="H57" s="15">
        <f>D57+F57</f>
        <v>221047474</v>
      </c>
      <c r="I57" s="10">
        <f>IFERROR((D57/C57)^(1/6)-1,0)</f>
        <v>6.0734069095701448E-2</v>
      </c>
      <c r="J57" s="10">
        <f>IFERROR((H57/G57)^(1/6)-1,0)</f>
        <v>5.327434138837428E-2</v>
      </c>
      <c r="K57" s="15">
        <f>($G57/Assumptions!$E$8+($H57/Assumptions!$E$14-$G57/Assumptions!$E$8)*(K$4-2019)/6)*INDEX(Assumptions!$E$5:$E$14,MATCH(K$4,Assumptions!$A$5:$A$14,0))</f>
        <v>147004877.14978901</v>
      </c>
      <c r="L57" s="15">
        <f>($G57/Assumptions!$E$8+($H57/Assumptions!$E$14-$G57/Assumptions!$E$8)*(L$4-2019)/6)*INDEX(Assumptions!$E$5:$E$14,MATCH(L$4,Assumptions!$A$5:$A$14,0))</f>
        <v>150755851.55789608</v>
      </c>
      <c r="M57" s="15">
        <f>($G57/Assumptions!$E$8+($H57/Assumptions!$E$14-$G57/Assumptions!$E$8)*(M$4-2019)/6)*INDEX(Assumptions!$E$5:$E$14,MATCH(M$4,Assumptions!$A$5:$A$14,0))</f>
        <v>155072557.40648907</v>
      </c>
      <c r="N57" s="15">
        <f>($G57/Assumptions!$E$8+($H57/Assumptions!$E$14-$G57/Assumptions!$E$8)*(N$4-2019)/6)*INDEX(Assumptions!$E$5:$E$14,MATCH(N$4,Assumptions!$A$5:$A$14,0))</f>
        <v>161896153</v>
      </c>
      <c r="O57" s="15">
        <f>($G57/Assumptions!$E$8+($H57/Assumptions!$E$14-$G57/Assumptions!$E$8)*(O$4-2019)/6)*INDEX(Assumptions!$E$5:$E$14,MATCH(O$4,Assumptions!$A$5:$A$14,0))</f>
        <v>170891187.62631157</v>
      </c>
      <c r="P57" s="15">
        <f>($G57/Assumptions!$E$8+($H57/Assumptions!$E$14-$G57/Assumptions!$E$8)*(P$4-2019)/6)*INDEX(Assumptions!$E$5:$E$14,MATCH(P$4,Assumptions!$A$5:$A$14,0))</f>
        <v>186524726.5231989</v>
      </c>
      <c r="Q57" s="15">
        <f>($G57/Assumptions!$E$8+($H57/Assumptions!$E$14-$G57/Assumptions!$E$8)*(Q$4-2019)/6)*INDEX(Assumptions!$E$5:$E$14,MATCH(Q$4,Assumptions!$A$5:$A$14,0))</f>
        <v>210837360.90826681</v>
      </c>
      <c r="R57" s="15">
        <f>($G57/Assumptions!$E$8+($H57/Assumptions!$E$14-$G57/Assumptions!$E$8)*(R$4-2019)/6)*INDEX(Assumptions!$E$5:$E$14,MATCH(R$4,Assumptions!$A$5:$A$14,0))</f>
        <v>219251455.68947542</v>
      </c>
      <c r="S57" s="15">
        <f>($G57/Assumptions!$E$8+($H57/Assumptions!$E$14-$G57/Assumptions!$E$8)*(S$4-2019)/6)*INDEX(Assumptions!$E$5:$E$14,MATCH(S$4,Assumptions!$A$5:$A$14,0))</f>
        <v>218488028.46652338</v>
      </c>
      <c r="T57" s="15">
        <f>($G57/Assumptions!$E$8+($H57/Assumptions!$E$14-$G57/Assumptions!$E$8)*(T$4-2019)/6)*INDEX(Assumptions!$E$5:$E$14,MATCH(T$4,Assumptions!$A$5:$A$14,0))</f>
        <v>221047474.00000003</v>
      </c>
    </row>
    <row r="58" spans="1:20">
      <c r="A58" s="16" t="s">
        <v>147</v>
      </c>
      <c r="B58" s="16" t="s">
        <v>94</v>
      </c>
      <c r="C58" s="17">
        <v>3900439</v>
      </c>
      <c r="D58" s="17">
        <v>7401187</v>
      </c>
      <c r="E58" s="17">
        <v>4932670</v>
      </c>
      <c r="F58" s="17">
        <v>6630277</v>
      </c>
      <c r="G58" s="18">
        <f>C58+E58</f>
        <v>8833109</v>
      </c>
      <c r="H58" s="18">
        <f>D58+F58</f>
        <v>14031464</v>
      </c>
      <c r="I58" s="19">
        <f>IFERROR((D58/C58)^(1/6)-1,0)</f>
        <v>0.11266556557588592</v>
      </c>
      <c r="J58" s="19">
        <f>IFERROR((H58/G58)^(1/6)-1,0)</f>
        <v>8.018522542456985E-2</v>
      </c>
      <c r="K58" s="18">
        <f>($G58/Assumptions!$E$8+($H58/Assumptions!$E$14-$G58/Assumptions!$E$8)*(K$4-2019)/6)*INDEX(Assumptions!$E$5:$E$14,MATCH(K$4,Assumptions!$A$5:$A$14,0))</f>
        <v>7340417.8632361256</v>
      </c>
      <c r="L58" s="18">
        <f>($G58/Assumptions!$E$8+($H58/Assumptions!$E$14-$G58/Assumptions!$E$8)*(L$4-2019)/6)*INDEX(Assumptions!$E$5:$E$14,MATCH(L$4,Assumptions!$A$5:$A$14,0))</f>
        <v>7762188.5719913999</v>
      </c>
      <c r="M58" s="18">
        <f>($G58/Assumptions!$E$8+($H58/Assumptions!$E$14-$G58/Assumptions!$E$8)*(M$4-2019)/6)*INDEX(Assumptions!$E$5:$E$14,MATCH(M$4,Assumptions!$A$5:$A$14,0))</f>
        <v>8223623.7029038575</v>
      </c>
      <c r="N58" s="18">
        <f>($G58/Assumptions!$E$8+($H58/Assumptions!$E$14-$G58/Assumptions!$E$8)*(N$4-2019)/6)*INDEX(Assumptions!$E$5:$E$14,MATCH(N$4,Assumptions!$A$5:$A$14,0))</f>
        <v>8833109</v>
      </c>
      <c r="O58" s="18">
        <f>($G58/Assumptions!$E$8+($H58/Assumptions!$E$14-$G58/Assumptions!$E$8)*(O$4-2019)/6)*INDEX(Assumptions!$E$5:$E$14,MATCH(O$4,Assumptions!$A$5:$A$14,0))</f>
        <v>9583101.321853837</v>
      </c>
      <c r="P58" s="18">
        <f>($G58/Assumptions!$E$8+($H58/Assumptions!$E$14-$G58/Assumptions!$E$8)*(P$4-2019)/6)*INDEX(Assumptions!$E$5:$E$14,MATCH(P$4,Assumptions!$A$5:$A$14,0))</f>
        <v>10740389.767835433</v>
      </c>
      <c r="Q58" s="18">
        <f>($G58/Assumptions!$E$8+($H58/Assumptions!$E$14-$G58/Assumptions!$E$8)*(Q$4-2019)/6)*INDEX(Assumptions!$E$5:$E$14,MATCH(Q$4,Assumptions!$A$5:$A$14,0))</f>
        <v>12454925.823655995</v>
      </c>
      <c r="R58" s="18">
        <f>($G58/Assumptions!$E$8+($H58/Assumptions!$E$14-$G58/Assumptions!$E$8)*(R$4-2019)/6)*INDEX(Assumptions!$E$5:$E$14,MATCH(R$4,Assumptions!$A$5:$A$14,0))</f>
        <v>13276433.724535884</v>
      </c>
      <c r="S58" s="18">
        <f>($G58/Assumptions!$E$8+($H58/Assumptions!$E$14-$G58/Assumptions!$E$8)*(S$4-2019)/6)*INDEX(Assumptions!$E$5:$E$14,MATCH(S$4,Assumptions!$A$5:$A$14,0))</f>
        <v>13550901.318269996</v>
      </c>
      <c r="T58" s="18">
        <f>($G58/Assumptions!$E$8+($H58/Assumptions!$E$14-$G58/Assumptions!$E$8)*(T$4-2019)/6)*INDEX(Assumptions!$E$5:$E$14,MATCH(T$4,Assumptions!$A$5:$A$14,0))</f>
        <v>14031464</v>
      </c>
    </row>
    <row r="59" spans="1:20">
      <c r="A59" s="3" t="s">
        <v>148</v>
      </c>
      <c r="B59" s="3" t="s">
        <v>94</v>
      </c>
      <c r="C59" s="14">
        <v>517951</v>
      </c>
      <c r="D59" s="14">
        <v>928448</v>
      </c>
      <c r="E59" s="14">
        <v>1608054</v>
      </c>
      <c r="F59" s="14">
        <v>2004525</v>
      </c>
      <c r="G59" s="15">
        <f>C59+E59</f>
        <v>2126005</v>
      </c>
      <c r="H59" s="15">
        <f>D59+F59</f>
        <v>2932973</v>
      </c>
      <c r="I59" s="10">
        <f>IFERROR((D59/C59)^(1/6)-1,0)</f>
        <v>0.10216043851293377</v>
      </c>
      <c r="J59" s="10">
        <f>IFERROR((H59/G59)^(1/6)-1,0)</f>
        <v>5.5092729966560006E-2</v>
      </c>
      <c r="K59" s="15">
        <f>($G59/Assumptions!$E$8+($H59/Assumptions!$E$14-$G59/Assumptions!$E$8)*(K$4-2019)/6)*INDEX(Assumptions!$E$5:$E$14,MATCH(K$4,Assumptions!$A$5:$A$14,0))</f>
        <v>1920032.4984112126</v>
      </c>
      <c r="L59" s="15">
        <f>($G59/Assumptions!$E$8+($H59/Assumptions!$E$14-$G59/Assumptions!$E$8)*(L$4-2019)/6)*INDEX(Assumptions!$E$5:$E$14,MATCH(L$4,Assumptions!$A$5:$A$14,0))</f>
        <v>1972616.395158767</v>
      </c>
      <c r="M59" s="15">
        <f>($G59/Assumptions!$E$8+($H59/Assumptions!$E$14-$G59/Assumptions!$E$8)*(M$4-2019)/6)*INDEX(Assumptions!$E$5:$E$14,MATCH(M$4,Assumptions!$A$5:$A$14,0))</f>
        <v>2032764.21742802</v>
      </c>
      <c r="N59" s="15">
        <f>($G59/Assumptions!$E$8+($H59/Assumptions!$E$14-$G59/Assumptions!$E$8)*(N$4-2019)/6)*INDEX(Assumptions!$E$5:$E$14,MATCH(N$4,Assumptions!$A$5:$A$14,0))</f>
        <v>2126005</v>
      </c>
      <c r="O59" s="15">
        <f>($G59/Assumptions!$E$8+($H59/Assumptions!$E$14-$G59/Assumptions!$E$8)*(O$4-2019)/6)*INDEX(Assumptions!$E$5:$E$14,MATCH(O$4,Assumptions!$A$5:$A$14,0))</f>
        <v>2248098.4777399283</v>
      </c>
      <c r="P59" s="15">
        <f>($G59/Assumptions!$E$8+($H59/Assumptions!$E$14-$G59/Assumptions!$E$8)*(P$4-2019)/6)*INDEX(Assumptions!$E$5:$E$14,MATCH(P$4,Assumptions!$A$5:$A$14,0))</f>
        <v>2458059.1027435218</v>
      </c>
      <c r="Q59" s="15">
        <f>($G59/Assumptions!$E$8+($H59/Assumptions!$E$14-$G59/Assumptions!$E$8)*(Q$4-2019)/6)*INDEX(Assumptions!$E$5:$E$14,MATCH(Q$4,Assumptions!$A$5:$A$14,0))</f>
        <v>2783275.3670316534</v>
      </c>
      <c r="R59" s="15">
        <f>($G59/Assumptions!$E$8+($H59/Assumptions!$E$14-$G59/Assumptions!$E$8)*(R$4-2019)/6)*INDEX(Assumptions!$E$5:$E$14,MATCH(R$4,Assumptions!$A$5:$A$14,0))</f>
        <v>2899321.3141933214</v>
      </c>
      <c r="S59" s="15">
        <f>($G59/Assumptions!$E$8+($H59/Assumptions!$E$14-$G59/Assumptions!$E$8)*(S$4-2019)/6)*INDEX(Assumptions!$E$5:$E$14,MATCH(S$4,Assumptions!$A$5:$A$14,0))</f>
        <v>2894139.3651987682</v>
      </c>
      <c r="T59" s="15">
        <f>($G59/Assumptions!$E$8+($H59/Assumptions!$E$14-$G59/Assumptions!$E$8)*(T$4-2019)/6)*INDEX(Assumptions!$E$5:$E$14,MATCH(T$4,Assumptions!$A$5:$A$14,0))</f>
        <v>2932973</v>
      </c>
    </row>
    <row r="60" spans="1:20">
      <c r="A60" s="16" t="s">
        <v>149</v>
      </c>
      <c r="B60" s="16" t="s">
        <v>94</v>
      </c>
      <c r="C60" s="17">
        <v>1069473</v>
      </c>
      <c r="D60" s="17">
        <v>1740671</v>
      </c>
      <c r="E60" s="17">
        <v>1953161</v>
      </c>
      <c r="F60" s="17">
        <v>2415980</v>
      </c>
      <c r="G60" s="18">
        <f>C60+E60</f>
        <v>3022634</v>
      </c>
      <c r="H60" s="18">
        <f>D60+F60</f>
        <v>4156651</v>
      </c>
      <c r="I60" s="19">
        <f>IFERROR((D60/C60)^(1/6)-1,0)</f>
        <v>8.457055979022754E-2</v>
      </c>
      <c r="J60" s="19">
        <f>IFERROR((H60/G60)^(1/6)-1,0)</f>
        <v>5.4531765474794325E-2</v>
      </c>
      <c r="K60" s="18">
        <f>($G60/Assumptions!$E$8+($H60/Assumptions!$E$14-$G60/Assumptions!$E$8)*(K$4-2019)/6)*INDEX(Assumptions!$E$5:$E$14,MATCH(K$4,Assumptions!$A$5:$A$14,0))</f>
        <v>2734378.5104890331</v>
      </c>
      <c r="L60" s="18">
        <f>($G60/Assumptions!$E$8+($H60/Assumptions!$E$14-$G60/Assumptions!$E$8)*(L$4-2019)/6)*INDEX(Assumptions!$E$5:$E$14,MATCH(L$4,Assumptions!$A$5:$A$14,0))</f>
        <v>2807675.9889274277</v>
      </c>
      <c r="M60" s="18">
        <f>($G60/Assumptions!$E$8+($H60/Assumptions!$E$14-$G60/Assumptions!$E$8)*(M$4-2019)/6)*INDEX(Assumptions!$E$5:$E$14,MATCH(M$4,Assumptions!$A$5:$A$14,0))</f>
        <v>2891668.1330110645</v>
      </c>
      <c r="N60" s="18">
        <f>($G60/Assumptions!$E$8+($H60/Assumptions!$E$14-$G60/Assumptions!$E$8)*(N$4-2019)/6)*INDEX(Assumptions!$E$5:$E$14,MATCH(N$4,Assumptions!$A$5:$A$14,0))</f>
        <v>3022634</v>
      </c>
      <c r="O60" s="18">
        <f>($G60/Assumptions!$E$8+($H60/Assumptions!$E$14-$G60/Assumptions!$E$8)*(O$4-2019)/6)*INDEX(Assumptions!$E$5:$E$14,MATCH(O$4,Assumptions!$A$5:$A$14,0))</f>
        <v>3194472.5044866605</v>
      </c>
      <c r="P60" s="18">
        <f>($G60/Assumptions!$E$8+($H60/Assumptions!$E$14-$G60/Assumptions!$E$8)*(P$4-2019)/6)*INDEX(Assumptions!$E$5:$E$14,MATCH(P$4,Assumptions!$A$5:$A$14,0))</f>
        <v>3490931.6137127718</v>
      </c>
      <c r="Q60" s="18">
        <f>($G60/Assumptions!$E$8+($H60/Assumptions!$E$14-$G60/Assumptions!$E$8)*(Q$4-2019)/6)*INDEX(Assumptions!$E$5:$E$14,MATCH(Q$4,Assumptions!$A$5:$A$14,0))</f>
        <v>3950690.4723115293</v>
      </c>
      <c r="R60" s="18">
        <f>($G60/Assumptions!$E$8+($H60/Assumptions!$E$14-$G60/Assumptions!$E$8)*(R$4-2019)/6)*INDEX(Assumptions!$E$5:$E$14,MATCH(R$4,Assumptions!$A$5:$A$14,0))</f>
        <v>4113235.3021914936</v>
      </c>
      <c r="S60" s="18">
        <f>($G60/Assumptions!$E$8+($H60/Assumptions!$E$14-$G60/Assumptions!$E$8)*(S$4-2019)/6)*INDEX(Assumptions!$E$5:$E$14,MATCH(S$4,Assumptions!$A$5:$A$14,0))</f>
        <v>4103737.2818360352</v>
      </c>
      <c r="T60" s="18">
        <f>($G60/Assumptions!$E$8+($H60/Assumptions!$E$14-$G60/Assumptions!$E$8)*(T$4-2019)/6)*INDEX(Assumptions!$E$5:$E$14,MATCH(T$4,Assumptions!$A$5:$A$14,0))</f>
        <v>4156651</v>
      </c>
    </row>
    <row r="61" spans="1:20">
      <c r="A61" s="3" t="s">
        <v>150</v>
      </c>
      <c r="B61" s="3" t="s">
        <v>94</v>
      </c>
      <c r="C61" s="14">
        <v>512224</v>
      </c>
      <c r="D61" s="14">
        <v>948765</v>
      </c>
      <c r="E61" s="14">
        <v>1063877</v>
      </c>
      <c r="F61" s="14">
        <v>1108723</v>
      </c>
      <c r="G61" s="15">
        <f>C61+E61</f>
        <v>1576101</v>
      </c>
      <c r="H61" s="15">
        <f>D61+F61</f>
        <v>2057488</v>
      </c>
      <c r="I61" s="10">
        <f>IFERROR((D61/C61)^(1/6)-1,0)</f>
        <v>0.10819568630121545</v>
      </c>
      <c r="J61" s="10">
        <f>IFERROR((H61/G61)^(1/6)-1,0)</f>
        <v>4.5423386168759183E-2</v>
      </c>
      <c r="K61" s="15">
        <f>($G61/Assumptions!$E$8+($H61/Assumptions!$E$14-$G61/Assumptions!$E$8)*(K$4-2019)/6)*INDEX(Assumptions!$E$5:$E$14,MATCH(K$4,Assumptions!$A$5:$A$14,0))</f>
        <v>1463731.5405752636</v>
      </c>
      <c r="L61" s="15">
        <f>($G61/Assumptions!$E$8+($H61/Assumptions!$E$14-$G61/Assumptions!$E$8)*(L$4-2019)/6)*INDEX(Assumptions!$E$5:$E$14,MATCH(L$4,Assumptions!$A$5:$A$14,0))</f>
        <v>1489842.4663915487</v>
      </c>
      <c r="M61" s="15">
        <f>($G61/Assumptions!$E$8+($H61/Assumptions!$E$14-$G61/Assumptions!$E$8)*(M$4-2019)/6)*INDEX(Assumptions!$E$5:$E$14,MATCH(M$4,Assumptions!$A$5:$A$14,0))</f>
        <v>1521039.2742790738</v>
      </c>
      <c r="N61" s="15">
        <f>($G61/Assumptions!$E$8+($H61/Assumptions!$E$14-$G61/Assumptions!$E$8)*(N$4-2019)/6)*INDEX(Assumptions!$E$5:$E$14,MATCH(N$4,Assumptions!$A$5:$A$14,0))</f>
        <v>1576101</v>
      </c>
      <c r="O61" s="15">
        <f>($G61/Assumptions!$E$8+($H61/Assumptions!$E$14-$G61/Assumptions!$E$8)*(O$4-2019)/6)*INDEX(Assumptions!$E$5:$E$14,MATCH(O$4,Assumptions!$A$5:$A$14,0))</f>
        <v>1651246.2870407039</v>
      </c>
      <c r="P61" s="15">
        <f>($G61/Assumptions!$E$8+($H61/Assumptions!$E$14-$G61/Assumptions!$E$8)*(P$4-2019)/6)*INDEX(Assumptions!$E$5:$E$14,MATCH(P$4,Assumptions!$A$5:$A$14,0))</f>
        <v>1788857.755095968</v>
      </c>
      <c r="Q61" s="15">
        <f>($G61/Assumptions!$E$8+($H61/Assumptions!$E$14-$G61/Assumptions!$E$8)*(Q$4-2019)/6)*INDEX(Assumptions!$E$5:$E$14,MATCH(Q$4,Assumptions!$A$5:$A$14,0))</f>
        <v>2006950.3238703958</v>
      </c>
      <c r="R61" s="15">
        <f>($G61/Assumptions!$E$8+($H61/Assumptions!$E$14-$G61/Assumptions!$E$8)*(R$4-2019)/6)*INDEX(Assumptions!$E$5:$E$14,MATCH(R$4,Assumptions!$A$5:$A$14,0))</f>
        <v>2071493.3525162952</v>
      </c>
      <c r="S61" s="15">
        <f>($G61/Assumptions!$E$8+($H61/Assumptions!$E$14-$G61/Assumptions!$E$8)*(S$4-2019)/6)*INDEX(Assumptions!$E$5:$E$14,MATCH(S$4,Assumptions!$A$5:$A$14,0))</f>
        <v>2048910.4129235675</v>
      </c>
      <c r="T61" s="15">
        <f>($G61/Assumptions!$E$8+($H61/Assumptions!$E$14-$G61/Assumptions!$E$8)*(T$4-2019)/6)*INDEX(Assumptions!$E$5:$E$14,MATCH(T$4,Assumptions!$A$5:$A$14,0))</f>
        <v>2057488</v>
      </c>
    </row>
    <row r="62" spans="1:20">
      <c r="A62" s="16" t="s">
        <v>151</v>
      </c>
      <c r="B62" s="16" t="s">
        <v>94</v>
      </c>
      <c r="C62" s="17">
        <v>5663852</v>
      </c>
      <c r="D62" s="17">
        <v>10433362</v>
      </c>
      <c r="E62" s="17">
        <v>4317514</v>
      </c>
      <c r="F62" s="17">
        <v>4554779</v>
      </c>
      <c r="G62" s="18">
        <f>C62+E62</f>
        <v>9981366</v>
      </c>
      <c r="H62" s="18">
        <f>D62+F62</f>
        <v>14988141</v>
      </c>
      <c r="I62" s="19">
        <f>IFERROR((D62/C62)^(1/6)-1,0)</f>
        <v>0.10718126911792725</v>
      </c>
      <c r="J62" s="19">
        <f>IFERROR((H62/G62)^(1/6)-1,0)</f>
        <v>7.0104765772978084E-2</v>
      </c>
      <c r="K62" s="18">
        <f>($G62/Assumptions!$E$8+($H62/Assumptions!$E$14-$G62/Assumptions!$E$8)*(K$4-2019)/6)*INDEX(Assumptions!$E$5:$E$14,MATCH(K$4,Assumptions!$A$5:$A$14,0))</f>
        <v>8593956.9933553599</v>
      </c>
      <c r="L62" s="18">
        <f>($G62/Assumptions!$E$8+($H62/Assumptions!$E$14-$G62/Assumptions!$E$8)*(L$4-2019)/6)*INDEX(Assumptions!$E$5:$E$14,MATCH(L$4,Assumptions!$A$5:$A$14,0))</f>
        <v>8975015.5276739914</v>
      </c>
      <c r="M62" s="18">
        <f>($G62/Assumptions!$E$8+($H62/Assumptions!$E$14-$G62/Assumptions!$E$8)*(M$4-2019)/6)*INDEX(Assumptions!$E$5:$E$14,MATCH(M$4,Assumptions!$A$5:$A$14,0))</f>
        <v>9397023.1982869729</v>
      </c>
      <c r="N62" s="18">
        <f>($G62/Assumptions!$E$8+($H62/Assumptions!$E$14-$G62/Assumptions!$E$8)*(N$4-2019)/6)*INDEX(Assumptions!$E$5:$E$14,MATCH(N$4,Assumptions!$A$5:$A$14,0))</f>
        <v>9981366</v>
      </c>
      <c r="O62" s="18">
        <f>($G62/Assumptions!$E$8+($H62/Assumptions!$E$14-$G62/Assumptions!$E$8)*(O$4-2019)/6)*INDEX(Assumptions!$E$5:$E$14,MATCH(O$4,Assumptions!$A$5:$A$14,0))</f>
        <v>10714785.747774942</v>
      </c>
      <c r="P62" s="18">
        <f>($G62/Assumptions!$E$8+($H62/Assumptions!$E$14-$G62/Assumptions!$E$8)*(P$4-2019)/6)*INDEX(Assumptions!$E$5:$E$14,MATCH(P$4,Assumptions!$A$5:$A$14,0))</f>
        <v>11888603.365637407</v>
      </c>
      <c r="Q62" s="18">
        <f>($G62/Assumptions!$E$8+($H62/Assumptions!$E$14-$G62/Assumptions!$E$8)*(Q$4-2019)/6)*INDEX(Assumptions!$E$5:$E$14,MATCH(Q$4,Assumptions!$A$5:$A$14,0))</f>
        <v>13655270.538843008</v>
      </c>
      <c r="R62" s="18">
        <f>($G62/Assumptions!$E$8+($H62/Assumptions!$E$14-$G62/Assumptions!$E$8)*(R$4-2019)/6)*INDEX(Assumptions!$E$5:$E$14,MATCH(R$4,Assumptions!$A$5:$A$14,0))</f>
        <v>14424085.036745645</v>
      </c>
      <c r="S62" s="18">
        <f>($G62/Assumptions!$E$8+($H62/Assumptions!$E$14-$G62/Assumptions!$E$8)*(S$4-2019)/6)*INDEX(Assumptions!$E$5:$E$14,MATCH(S$4,Assumptions!$A$5:$A$14,0))</f>
        <v>14595125.920513542</v>
      </c>
      <c r="T62" s="18">
        <f>($G62/Assumptions!$E$8+($H62/Assumptions!$E$14-$G62/Assumptions!$E$8)*(T$4-2019)/6)*INDEX(Assumptions!$E$5:$E$14,MATCH(T$4,Assumptions!$A$5:$A$14,0))</f>
        <v>14988140.999999998</v>
      </c>
    </row>
    <row r="63" spans="1:20">
      <c r="A63" s="3" t="s">
        <v>152</v>
      </c>
      <c r="B63" s="3" t="s">
        <v>94</v>
      </c>
      <c r="C63" s="14">
        <v>1189385</v>
      </c>
      <c r="D63" s="14">
        <v>1762311</v>
      </c>
      <c r="E63" s="14">
        <v>1230312</v>
      </c>
      <c r="F63" s="14">
        <v>1355212</v>
      </c>
      <c r="G63" s="15">
        <f>C63+E63</f>
        <v>2419697</v>
      </c>
      <c r="H63" s="15">
        <f>D63+F63</f>
        <v>3117523</v>
      </c>
      <c r="I63" s="10">
        <f>IFERROR((D63/C63)^(1/6)-1,0)</f>
        <v>6.7726485674931558E-2</v>
      </c>
      <c r="J63" s="10">
        <f>IFERROR((H63/G63)^(1/6)-1,0)</f>
        <v>4.313723209092668E-2</v>
      </c>
      <c r="K63" s="15">
        <f>($G63/Assumptions!$E$8+($H63/Assumptions!$E$14-$G63/Assumptions!$E$8)*(K$4-2019)/6)*INDEX(Assumptions!$E$5:$E$14,MATCH(K$4,Assumptions!$A$5:$A$14,0))</f>
        <v>2261407.8312929911</v>
      </c>
      <c r="L63" s="15">
        <f>($G63/Assumptions!$E$8+($H63/Assumptions!$E$14-$G63/Assumptions!$E$8)*(L$4-2019)/6)*INDEX(Assumptions!$E$5:$E$14,MATCH(L$4,Assumptions!$A$5:$A$14,0))</f>
        <v>2296953.9468734465</v>
      </c>
      <c r="M63" s="15">
        <f>($G63/Assumptions!$E$8+($H63/Assumptions!$E$14-$G63/Assumptions!$E$8)*(M$4-2019)/6)*INDEX(Assumptions!$E$5:$E$14,MATCH(M$4,Assumptions!$A$5:$A$14,0))</f>
        <v>2340124.1358260266</v>
      </c>
      <c r="N63" s="15">
        <f>($G63/Assumptions!$E$8+($H63/Assumptions!$E$14-$G63/Assumptions!$E$8)*(N$4-2019)/6)*INDEX(Assumptions!$E$5:$E$14,MATCH(N$4,Assumptions!$A$5:$A$14,0))</f>
        <v>2419697</v>
      </c>
      <c r="O63" s="15">
        <f>($G63/Assumptions!$E$8+($H63/Assumptions!$E$14-$G63/Assumptions!$E$8)*(O$4-2019)/6)*INDEX(Assumptions!$E$5:$E$14,MATCH(O$4,Assumptions!$A$5:$A$14,0))</f>
        <v>2529642.2377896961</v>
      </c>
      <c r="P63" s="15">
        <f>($G63/Assumptions!$E$8+($H63/Assumptions!$E$14-$G63/Assumptions!$E$8)*(P$4-2019)/6)*INDEX(Assumptions!$E$5:$E$14,MATCH(P$4,Assumptions!$A$5:$A$14,0))</f>
        <v>2734545.1011154638</v>
      </c>
      <c r="Q63" s="15">
        <f>($G63/Assumptions!$E$8+($H63/Assumptions!$E$14-$G63/Assumptions!$E$8)*(Q$4-2019)/6)*INDEX(Assumptions!$E$5:$E$14,MATCH(Q$4,Assumptions!$A$5:$A$14,0))</f>
        <v>3061255.2906291629</v>
      </c>
      <c r="R63" s="15">
        <f>($G63/Assumptions!$E$8+($H63/Assumptions!$E$14-$G63/Assumptions!$E$8)*(R$4-2019)/6)*INDEX(Assumptions!$E$5:$E$14,MATCH(R$4,Assumptions!$A$5:$A$14,0))</f>
        <v>3152765.0557135269</v>
      </c>
      <c r="S63" s="15">
        <f>($G63/Assumptions!$E$8+($H63/Assumptions!$E$14-$G63/Assumptions!$E$8)*(S$4-2019)/6)*INDEX(Assumptions!$E$5:$E$14,MATCH(S$4,Assumptions!$A$5:$A$14,0))</f>
        <v>3111483.8443785887</v>
      </c>
      <c r="T63" s="15">
        <f>($G63/Assumptions!$E$8+($H63/Assumptions!$E$14-$G63/Assumptions!$E$8)*(T$4-2019)/6)*INDEX(Assumptions!$E$5:$E$14,MATCH(T$4,Assumptions!$A$5:$A$14,0))</f>
        <v>3117523</v>
      </c>
    </row>
    <row r="64" spans="1:20">
      <c r="A64" s="16" t="s">
        <v>153</v>
      </c>
      <c r="B64" s="16" t="s">
        <v>94</v>
      </c>
      <c r="C64" s="17">
        <v>13351507</v>
      </c>
      <c r="D64" s="17">
        <v>18599643</v>
      </c>
      <c r="E64" s="17">
        <v>10819077</v>
      </c>
      <c r="F64" s="17">
        <v>13299877</v>
      </c>
      <c r="G64" s="18">
        <f>C64+E64</f>
        <v>24170584</v>
      </c>
      <c r="H64" s="18">
        <f>D64+F64</f>
        <v>31899520</v>
      </c>
      <c r="I64" s="19">
        <f>IFERROR((D64/C64)^(1/6)-1,0)</f>
        <v>5.6807094544179648E-2</v>
      </c>
      <c r="J64" s="19">
        <f>IFERROR((H64/G64)^(1/6)-1,0)</f>
        <v>4.7328288525097184E-2</v>
      </c>
      <c r="K64" s="18">
        <f>($G64/Assumptions!$E$8+($H64/Assumptions!$E$14-$G64/Assumptions!$E$8)*(K$4-2019)/6)*INDEX(Assumptions!$E$5:$E$14,MATCH(K$4,Assumptions!$A$5:$A$14,0))</f>
        <v>22327729.223235391</v>
      </c>
      <c r="L64" s="18">
        <f>($G64/Assumptions!$E$8+($H64/Assumptions!$E$14-$G64/Assumptions!$E$8)*(L$4-2019)/6)*INDEX(Assumptions!$E$5:$E$14,MATCH(L$4,Assumptions!$A$5:$A$14,0))</f>
        <v>22766330.354833372</v>
      </c>
      <c r="M64" s="18">
        <f>($G64/Assumptions!$E$8+($H64/Assumptions!$E$14-$G64/Assumptions!$E$8)*(M$4-2019)/6)*INDEX(Assumptions!$E$5:$E$14,MATCH(M$4,Assumptions!$A$5:$A$14,0))</f>
        <v>23284473.76321141</v>
      </c>
      <c r="N64" s="18">
        <f>($G64/Assumptions!$E$8+($H64/Assumptions!$E$14-$G64/Assumptions!$E$8)*(N$4-2019)/6)*INDEX(Assumptions!$E$5:$E$14,MATCH(N$4,Assumptions!$A$5:$A$14,0))</f>
        <v>24170583.999999996</v>
      </c>
      <c r="O64" s="18">
        <f>($G64/Assumptions!$E$8+($H64/Assumptions!$E$14-$G64/Assumptions!$E$8)*(O$4-2019)/6)*INDEX(Assumptions!$E$5:$E$14,MATCH(O$4,Assumptions!$A$5:$A$14,0))</f>
        <v>25368563.004556868</v>
      </c>
      <c r="P64" s="18">
        <f>($G64/Assumptions!$E$8+($H64/Assumptions!$E$14-$G64/Assumptions!$E$8)*(P$4-2019)/6)*INDEX(Assumptions!$E$5:$E$14,MATCH(P$4,Assumptions!$A$5:$A$14,0))</f>
        <v>27532432.245268673</v>
      </c>
      <c r="Q64" s="18">
        <f>($G64/Assumptions!$E$8+($H64/Assumptions!$E$14-$G64/Assumptions!$E$8)*(Q$4-2019)/6)*INDEX(Assumptions!$E$5:$E$14,MATCH(Q$4,Assumptions!$A$5:$A$14,0))</f>
        <v>30945252.096607838</v>
      </c>
      <c r="R64" s="18">
        <f>($G64/Assumptions!$E$8+($H64/Assumptions!$E$14-$G64/Assumptions!$E$8)*(R$4-2019)/6)*INDEX(Assumptions!$E$5:$E$14,MATCH(R$4,Assumptions!$A$5:$A$14,0))</f>
        <v>31998784.416189369</v>
      </c>
      <c r="S64" s="18">
        <f>($G64/Assumptions!$E$8+($H64/Assumptions!$E$14-$G64/Assumptions!$E$8)*(S$4-2019)/6)*INDEX(Assumptions!$E$5:$E$14,MATCH(S$4,Assumptions!$A$5:$A$14,0))</f>
        <v>31708038.310685799</v>
      </c>
      <c r="T64" s="18">
        <f>($G64/Assumptions!$E$8+($H64/Assumptions!$E$14-$G64/Assumptions!$E$8)*(T$4-2019)/6)*INDEX(Assumptions!$E$5:$E$14,MATCH(T$4,Assumptions!$A$5:$A$14,0))</f>
        <v>31899520</v>
      </c>
    </row>
    <row r="65" spans="1:20">
      <c r="A65" s="3" t="s">
        <v>154</v>
      </c>
      <c r="B65" s="3" t="s">
        <v>94</v>
      </c>
      <c r="C65" s="14">
        <v>1282909</v>
      </c>
      <c r="D65" s="14">
        <v>2260777</v>
      </c>
      <c r="E65" s="14">
        <v>2033931</v>
      </c>
      <c r="F65" s="14">
        <v>2082212</v>
      </c>
      <c r="G65" s="15">
        <f>C65+E65</f>
        <v>3316840</v>
      </c>
      <c r="H65" s="15">
        <f>D65+F65</f>
        <v>4342989</v>
      </c>
      <c r="I65" s="10">
        <f>IFERROR((D65/C65)^(1/6)-1,0)</f>
        <v>9.9031935823848283E-2</v>
      </c>
      <c r="J65" s="10">
        <f>IFERROR((H65/G65)^(1/6)-1,0)</f>
        <v>4.5949462761300408E-2</v>
      </c>
      <c r="K65" s="15">
        <f>($G65/Assumptions!$E$8+($H65/Assumptions!$E$14-$G65/Assumptions!$E$8)*(K$4-2019)/6)*INDEX(Assumptions!$E$5:$E$14,MATCH(K$4,Assumptions!$A$5:$A$14,0))</f>
        <v>3075845.7102135597</v>
      </c>
      <c r="L65" s="15">
        <f>($G65/Assumptions!$E$8+($H65/Assumptions!$E$14-$G65/Assumptions!$E$8)*(L$4-2019)/6)*INDEX(Assumptions!$E$5:$E$14,MATCH(L$4,Assumptions!$A$5:$A$14,0))</f>
        <v>3132236.9650000972</v>
      </c>
      <c r="M65" s="15">
        <f>($G65/Assumptions!$E$8+($H65/Assumptions!$E$14-$G65/Assumptions!$E$8)*(M$4-2019)/6)*INDEX(Assumptions!$E$5:$E$14,MATCH(M$4,Assumptions!$A$5:$A$14,0))</f>
        <v>3199389.6777764508</v>
      </c>
      <c r="N65" s="15">
        <f>($G65/Assumptions!$E$8+($H65/Assumptions!$E$14-$G65/Assumptions!$E$8)*(N$4-2019)/6)*INDEX(Assumptions!$E$5:$E$14,MATCH(N$4,Assumptions!$A$5:$A$14,0))</f>
        <v>3316840</v>
      </c>
      <c r="O65" s="15">
        <f>($G65/Assumptions!$E$8+($H65/Assumptions!$E$14-$G65/Assumptions!$E$8)*(O$4-2019)/6)*INDEX(Assumptions!$E$5:$E$14,MATCH(O$4,Assumptions!$A$5:$A$14,0))</f>
        <v>3476701.6739481282</v>
      </c>
      <c r="P65" s="15">
        <f>($G65/Assumptions!$E$8+($H65/Assumptions!$E$14-$G65/Assumptions!$E$8)*(P$4-2019)/6)*INDEX(Assumptions!$E$5:$E$14,MATCH(P$4,Assumptions!$A$5:$A$14,0))</f>
        <v>3768320.3594690738</v>
      </c>
      <c r="Q65" s="15">
        <f>($G65/Assumptions!$E$8+($H65/Assumptions!$E$14-$G65/Assumptions!$E$8)*(Q$4-2019)/6)*INDEX(Assumptions!$E$5:$E$14,MATCH(Q$4,Assumptions!$A$5:$A$14,0))</f>
        <v>4229864.1690657996</v>
      </c>
      <c r="R65" s="15">
        <f>($G65/Assumptions!$E$8+($H65/Assumptions!$E$14-$G65/Assumptions!$E$8)*(R$4-2019)/6)*INDEX(Assumptions!$E$5:$E$14,MATCH(R$4,Assumptions!$A$5:$A$14,0))</f>
        <v>4368099.2599551706</v>
      </c>
      <c r="S65" s="15">
        <f>($G65/Assumptions!$E$8+($H65/Assumptions!$E$14-$G65/Assumptions!$E$8)*(S$4-2019)/6)*INDEX(Assumptions!$E$5:$E$14,MATCH(S$4,Assumptions!$A$5:$A$14,0))</f>
        <v>4322673.7614260623</v>
      </c>
      <c r="T65" s="15">
        <f>($G65/Assumptions!$E$8+($H65/Assumptions!$E$14-$G65/Assumptions!$E$8)*(T$4-2019)/6)*INDEX(Assumptions!$E$5:$E$14,MATCH(T$4,Assumptions!$A$5:$A$14,0))</f>
        <v>4342989</v>
      </c>
    </row>
    <row r="66" spans="1:20">
      <c r="A66" s="16" t="s">
        <v>155</v>
      </c>
      <c r="B66" s="16" t="s">
        <v>94</v>
      </c>
      <c r="C66" s="17">
        <v>1913712</v>
      </c>
      <c r="D66" s="17">
        <v>3843305</v>
      </c>
      <c r="E66" s="17">
        <v>3150839</v>
      </c>
      <c r="F66" s="17">
        <v>4126060</v>
      </c>
      <c r="G66" s="18">
        <f>C66+E66</f>
        <v>5064551</v>
      </c>
      <c r="H66" s="18">
        <f>D66+F66</f>
        <v>7969365</v>
      </c>
      <c r="I66" s="19">
        <f>IFERROR((D66/C66)^(1/6)-1,0)</f>
        <v>0.12323694196038959</v>
      </c>
      <c r="J66" s="19">
        <f>IFERROR((H66/G66)^(1/6)-1,0)</f>
        <v>7.8484219607545036E-2</v>
      </c>
      <c r="K66" s="18">
        <f>($G66/Assumptions!$E$8+($H66/Assumptions!$E$14-$G66/Assumptions!$E$8)*(K$4-2019)/6)*INDEX(Assumptions!$E$5:$E$14,MATCH(K$4,Assumptions!$A$5:$A$14,0))</f>
        <v>4234831.2649369696</v>
      </c>
      <c r="L66" s="18">
        <f>($G66/Assumptions!$E$8+($H66/Assumptions!$E$14-$G66/Assumptions!$E$8)*(L$4-2019)/6)*INDEX(Assumptions!$E$5:$E$14,MATCH(L$4,Assumptions!$A$5:$A$14,0))</f>
        <v>4468317.4935959615</v>
      </c>
      <c r="M66" s="18">
        <f>($G66/Assumptions!$E$8+($H66/Assumptions!$E$14-$G66/Assumptions!$E$8)*(M$4-2019)/6)*INDEX(Assumptions!$E$5:$E$14,MATCH(M$4,Assumptions!$A$5:$A$14,0))</f>
        <v>4724207.7541952021</v>
      </c>
      <c r="N66" s="18">
        <f>($G66/Assumptions!$E$8+($H66/Assumptions!$E$14-$G66/Assumptions!$E$8)*(N$4-2019)/6)*INDEX(Assumptions!$E$5:$E$14,MATCH(N$4,Assumptions!$A$5:$A$14,0))</f>
        <v>5064551</v>
      </c>
      <c r="O66" s="18">
        <f>($G66/Assumptions!$E$8+($H66/Assumptions!$E$14-$G66/Assumptions!$E$8)*(O$4-2019)/6)*INDEX(Assumptions!$E$5:$E$14,MATCH(O$4,Assumptions!$A$5:$A$14,0))</f>
        <v>5484608.9981050342</v>
      </c>
      <c r="P66" s="18">
        <f>($G66/Assumptions!$E$8+($H66/Assumptions!$E$14-$G66/Assumptions!$E$8)*(P$4-2019)/6)*INDEX(Assumptions!$E$5:$E$14,MATCH(P$4,Assumptions!$A$5:$A$14,0))</f>
        <v>6136461.9456162825</v>
      </c>
      <c r="Q66" s="18">
        <f>($G66/Assumptions!$E$8+($H66/Assumptions!$E$14-$G66/Assumptions!$E$8)*(Q$4-2019)/6)*INDEX(Assumptions!$E$5:$E$14,MATCH(Q$4,Assumptions!$A$5:$A$14,0))</f>
        <v>7104602.6370615903</v>
      </c>
      <c r="R66" s="18">
        <f>($G66/Assumptions!$E$8+($H66/Assumptions!$E$14-$G66/Assumptions!$E$8)*(R$4-2019)/6)*INDEX(Assumptions!$E$5:$E$14,MATCH(R$4,Assumptions!$A$5:$A$14,0))</f>
        <v>7561700.0707369866</v>
      </c>
      <c r="S66" s="18">
        <f>($G66/Assumptions!$E$8+($H66/Assumptions!$E$14-$G66/Assumptions!$E$8)*(S$4-2019)/6)*INDEX(Assumptions!$E$5:$E$14,MATCH(S$4,Assumptions!$A$5:$A$14,0))</f>
        <v>7706925.4900011951</v>
      </c>
      <c r="T66" s="18">
        <f>($G66/Assumptions!$E$8+($H66/Assumptions!$E$14-$G66/Assumptions!$E$8)*(T$4-2019)/6)*INDEX(Assumptions!$E$5:$E$14,MATCH(T$4,Assumptions!$A$5:$A$14,0))</f>
        <v>7969365</v>
      </c>
    </row>
    <row r="67" spans="1:20">
      <c r="A67" s="3" t="s">
        <v>156</v>
      </c>
      <c r="B67" s="3" t="s">
        <v>94</v>
      </c>
      <c r="C67" s="14">
        <v>1524230</v>
      </c>
      <c r="D67" s="14">
        <v>2454754</v>
      </c>
      <c r="E67" s="14">
        <v>1648031</v>
      </c>
      <c r="F67" s="14">
        <v>1820377</v>
      </c>
      <c r="G67" s="15">
        <f>C67+E67</f>
        <v>3172261</v>
      </c>
      <c r="H67" s="15">
        <f>D67+F67</f>
        <v>4275131</v>
      </c>
      <c r="I67" s="10">
        <f>IFERROR((D67/C67)^(1/6)-1,0)</f>
        <v>8.2662044819319158E-2</v>
      </c>
      <c r="J67" s="10">
        <f>IFERROR((H67/G67)^(1/6)-1,0)</f>
        <v>5.0985568286626703E-2</v>
      </c>
      <c r="K67" s="15">
        <f>($G67/Assumptions!$E$8+($H67/Assumptions!$E$14-$G67/Assumptions!$E$8)*(K$4-2019)/6)*INDEX(Assumptions!$E$5:$E$14,MATCH(K$4,Assumptions!$A$5:$A$14,0))</f>
        <v>2899858.2641809168</v>
      </c>
      <c r="L67" s="15">
        <f>($G67/Assumptions!$E$8+($H67/Assumptions!$E$14-$G67/Assumptions!$E$8)*(L$4-2019)/6)*INDEX(Assumptions!$E$5:$E$14,MATCH(L$4,Assumptions!$A$5:$A$14,0))</f>
        <v>2967169.5892914967</v>
      </c>
      <c r="M67" s="15">
        <f>($G67/Assumptions!$E$8+($H67/Assumptions!$E$14-$G67/Assumptions!$E$8)*(M$4-2019)/6)*INDEX(Assumptions!$E$5:$E$14,MATCH(M$4,Assumptions!$A$5:$A$14,0))</f>
        <v>3045315.3918363564</v>
      </c>
      <c r="N67" s="15">
        <f>($G67/Assumptions!$E$8+($H67/Assumptions!$E$14-$G67/Assumptions!$E$8)*(N$4-2019)/6)*INDEX(Assumptions!$E$5:$E$14,MATCH(N$4,Assumptions!$A$5:$A$14,0))</f>
        <v>3172261</v>
      </c>
      <c r="O67" s="15">
        <f>($G67/Assumptions!$E$8+($H67/Assumptions!$E$14-$G67/Assumptions!$E$8)*(O$4-2019)/6)*INDEX(Assumptions!$E$5:$E$14,MATCH(O$4,Assumptions!$A$5:$A$14,0))</f>
        <v>3341126.8643071637</v>
      </c>
      <c r="P67" s="15">
        <f>($G67/Assumptions!$E$8+($H67/Assumptions!$E$14-$G67/Assumptions!$E$8)*(P$4-2019)/6)*INDEX(Assumptions!$E$5:$E$14,MATCH(P$4,Assumptions!$A$5:$A$14,0))</f>
        <v>3638785.2964487798</v>
      </c>
      <c r="Q67" s="15">
        <f>($G67/Assumptions!$E$8+($H67/Assumptions!$E$14-$G67/Assumptions!$E$8)*(Q$4-2019)/6)*INDEX(Assumptions!$E$5:$E$14,MATCH(Q$4,Assumptions!$A$5:$A$14,0))</f>
        <v>4104120.1087248228</v>
      </c>
      <c r="R67" s="15">
        <f>($G67/Assumptions!$E$8+($H67/Assumptions!$E$14-$G67/Assumptions!$E$8)*(R$4-2019)/6)*INDEX(Assumptions!$E$5:$E$14,MATCH(R$4,Assumptions!$A$5:$A$14,0))</f>
        <v>4258661.7206218252</v>
      </c>
      <c r="S67" s="15">
        <f>($G67/Assumptions!$E$8+($H67/Assumptions!$E$14-$G67/Assumptions!$E$8)*(S$4-2019)/6)*INDEX(Assumptions!$E$5:$E$14,MATCH(S$4,Assumptions!$A$5:$A$14,0))</f>
        <v>4234694.7964546038</v>
      </c>
      <c r="T67" s="15">
        <f>($G67/Assumptions!$E$8+($H67/Assumptions!$E$14-$G67/Assumptions!$E$8)*(T$4-2019)/6)*INDEX(Assumptions!$E$5:$E$14,MATCH(T$4,Assumptions!$A$5:$A$14,0))</f>
        <v>4275131</v>
      </c>
    </row>
    <row r="68" spans="1:20">
      <c r="A68" s="16" t="s">
        <v>157</v>
      </c>
      <c r="B68" s="16" t="s">
        <v>94</v>
      </c>
      <c r="C68" s="17">
        <v>741989</v>
      </c>
      <c r="D68" s="17">
        <v>1411916</v>
      </c>
      <c r="E68" s="17">
        <v>1315977</v>
      </c>
      <c r="F68" s="17">
        <v>1406045</v>
      </c>
      <c r="G68" s="18">
        <f>C68+E68</f>
        <v>2057966</v>
      </c>
      <c r="H68" s="18">
        <f>D68+F68</f>
        <v>2817961</v>
      </c>
      <c r="I68" s="19">
        <f>IFERROR((D68/C68)^(1/6)-1,0)</f>
        <v>0.11318812665752964</v>
      </c>
      <c r="J68" s="19">
        <f>IFERROR((H68/G68)^(1/6)-1,0)</f>
        <v>5.377881613494484E-2</v>
      </c>
      <c r="K68" s="18">
        <f>($G68/Assumptions!$E$8+($H68/Assumptions!$E$14-$G68/Assumptions!$E$8)*(K$4-2019)/6)*INDEX(Assumptions!$E$5:$E$14,MATCH(K$4,Assumptions!$A$5:$A$14,0))</f>
        <v>1865883.3932420805</v>
      </c>
      <c r="L68" s="18">
        <f>($G68/Assumptions!$E$8+($H68/Assumptions!$E$14-$G68/Assumptions!$E$8)*(L$4-2019)/6)*INDEX(Assumptions!$E$5:$E$14,MATCH(L$4,Assumptions!$A$5:$A$14,0))</f>
        <v>1914454.9789096189</v>
      </c>
      <c r="M68" s="18">
        <f>($G68/Assumptions!$E$8+($H68/Assumptions!$E$14-$G68/Assumptions!$E$8)*(M$4-2019)/6)*INDEX(Assumptions!$E$5:$E$14,MATCH(M$4,Assumptions!$A$5:$A$14,0))</f>
        <v>1970254.026554296</v>
      </c>
      <c r="N68" s="18">
        <f>($G68/Assumptions!$E$8+($H68/Assumptions!$E$14-$G68/Assumptions!$E$8)*(N$4-2019)/6)*INDEX(Assumptions!$E$5:$E$14,MATCH(N$4,Assumptions!$A$5:$A$14,0))</f>
        <v>2057966</v>
      </c>
      <c r="O68" s="18">
        <f>($G68/Assumptions!$E$8+($H68/Assumptions!$E$14-$G68/Assumptions!$E$8)*(O$4-2019)/6)*INDEX(Assumptions!$E$5:$E$14,MATCH(O$4,Assumptions!$A$5:$A$14,0))</f>
        <v>2173370.9003488156</v>
      </c>
      <c r="P68" s="18">
        <f>($G68/Assumptions!$E$8+($H68/Assumptions!$E$14-$G68/Assumptions!$E$8)*(P$4-2019)/6)*INDEX(Assumptions!$E$5:$E$14,MATCH(P$4,Assumptions!$A$5:$A$14,0))</f>
        <v>2373347.0665085204</v>
      </c>
      <c r="Q68" s="18">
        <f>($G68/Assumptions!$E$8+($H68/Assumptions!$E$14-$G68/Assumptions!$E$8)*(Q$4-2019)/6)*INDEX(Assumptions!$E$5:$E$14,MATCH(Q$4,Assumptions!$A$5:$A$14,0))</f>
        <v>2683992.155132364</v>
      </c>
      <c r="R68" s="18">
        <f>($G68/Assumptions!$E$8+($H68/Assumptions!$E$14-$G68/Assumptions!$E$8)*(R$4-2019)/6)*INDEX(Assumptions!$E$5:$E$14,MATCH(R$4,Assumptions!$A$5:$A$14,0))</f>
        <v>2792435.6974135507</v>
      </c>
      <c r="S68" s="18">
        <f>($G68/Assumptions!$E$8+($H68/Assumptions!$E$14-$G68/Assumptions!$E$8)*(S$4-2019)/6)*INDEX(Assumptions!$E$5:$E$14,MATCH(S$4,Assumptions!$A$5:$A$14,0))</f>
        <v>2784027.9069080427</v>
      </c>
      <c r="T68" s="18">
        <f>($G68/Assumptions!$E$8+($H68/Assumptions!$E$14-$G68/Assumptions!$E$8)*(T$4-2019)/6)*INDEX(Assumptions!$E$5:$E$14,MATCH(T$4,Assumptions!$A$5:$A$14,0))</f>
        <v>2817961</v>
      </c>
    </row>
    <row r="69" spans="1:20">
      <c r="A69" s="3" t="s">
        <v>158</v>
      </c>
      <c r="B69" s="3" t="s">
        <v>94</v>
      </c>
      <c r="C69" s="14">
        <v>1740734</v>
      </c>
      <c r="D69" s="14">
        <v>2329400</v>
      </c>
      <c r="E69" s="14">
        <v>2142440</v>
      </c>
      <c r="F69" s="14">
        <v>2399675</v>
      </c>
      <c r="G69" s="15">
        <f>C69+E69</f>
        <v>3883174</v>
      </c>
      <c r="H69" s="15">
        <f>D69+F69</f>
        <v>4729075</v>
      </c>
      <c r="I69" s="10">
        <f>IFERROR((D69/C69)^(1/6)-1,0)</f>
        <v>4.9748533296555708E-2</v>
      </c>
      <c r="J69" s="10">
        <f>IFERROR((H69/G69)^(1/6)-1,0)</f>
        <v>3.3391516069036564E-2</v>
      </c>
      <c r="K69" s="15">
        <f>($G69/Assumptions!$E$8+($H69/Assumptions!$E$14-$G69/Assumptions!$E$8)*(K$4-2019)/6)*INDEX(Assumptions!$E$5:$E$14,MATCH(K$4,Assumptions!$A$5:$A$14,0))</f>
        <v>3723701.9016862214</v>
      </c>
      <c r="L69" s="15">
        <f>($G69/Assumptions!$E$8+($H69/Assumptions!$E$14-$G69/Assumptions!$E$8)*(L$4-2019)/6)*INDEX(Assumptions!$E$5:$E$14,MATCH(L$4,Assumptions!$A$5:$A$14,0))</f>
        <v>3750566.8570975107</v>
      </c>
      <c r="M69" s="15">
        <f>($G69/Assumptions!$E$8+($H69/Assumptions!$E$14-$G69/Assumptions!$E$8)*(M$4-2019)/6)*INDEX(Assumptions!$E$5:$E$14,MATCH(M$4,Assumptions!$A$5:$A$14,0))</f>
        <v>3788444.1155550908</v>
      </c>
      <c r="N69" s="15">
        <f>($G69/Assumptions!$E$8+($H69/Assumptions!$E$14-$G69/Assumptions!$E$8)*(N$4-2019)/6)*INDEX(Assumptions!$E$5:$E$14,MATCH(N$4,Assumptions!$A$5:$A$14,0))</f>
        <v>3883174</v>
      </c>
      <c r="O69" s="15">
        <f>($G69/Assumptions!$E$8+($H69/Assumptions!$E$14-$G69/Assumptions!$E$8)*(O$4-2019)/6)*INDEX(Assumptions!$E$5:$E$14,MATCH(O$4,Assumptions!$A$5:$A$14,0))</f>
        <v>4023583.4019138888</v>
      </c>
      <c r="P69" s="15">
        <f>($G69/Assumptions!$E$8+($H69/Assumptions!$E$14-$G69/Assumptions!$E$8)*(P$4-2019)/6)*INDEX(Assumptions!$E$5:$E$14,MATCH(P$4,Assumptions!$A$5:$A$14,0))</f>
        <v>4310113.8487914857</v>
      </c>
      <c r="Q69" s="15">
        <f>($G69/Assumptions!$E$8+($H69/Assumptions!$E$14-$G69/Assumptions!$E$8)*(Q$4-2019)/6)*INDEX(Assumptions!$E$5:$E$14,MATCH(Q$4,Assumptions!$A$5:$A$14,0))</f>
        <v>4780486.4212463768</v>
      </c>
      <c r="R69" s="15">
        <f>($G69/Assumptions!$E$8+($H69/Assumptions!$E$14-$G69/Assumptions!$E$8)*(R$4-2019)/6)*INDEX(Assumptions!$E$5:$E$14,MATCH(R$4,Assumptions!$A$5:$A$14,0))</f>
        <v>4876963.3453144599</v>
      </c>
      <c r="S69" s="15">
        <f>($G69/Assumptions!$E$8+($H69/Assumptions!$E$14-$G69/Assumptions!$E$8)*(S$4-2019)/6)*INDEX(Assumptions!$E$5:$E$14,MATCH(S$4,Assumptions!$A$5:$A$14,0))</f>
        <v>4766772.393760141</v>
      </c>
      <c r="T69" s="15">
        <f>($G69/Assumptions!$E$8+($H69/Assumptions!$E$14-$G69/Assumptions!$E$8)*(T$4-2019)/6)*INDEX(Assumptions!$E$5:$E$14,MATCH(T$4,Assumptions!$A$5:$A$14,0))</f>
        <v>4729075</v>
      </c>
    </row>
    <row r="70" spans="1:20">
      <c r="A70" s="16" t="s">
        <v>159</v>
      </c>
      <c r="B70" s="16" t="s">
        <v>94</v>
      </c>
      <c r="C70" s="17">
        <v>3694833</v>
      </c>
      <c r="D70" s="17">
        <v>5936740</v>
      </c>
      <c r="E70" s="17">
        <v>5045258</v>
      </c>
      <c r="F70" s="17">
        <v>6533408</v>
      </c>
      <c r="G70" s="18">
        <f>C70+E70</f>
        <v>8740091</v>
      </c>
      <c r="H70" s="18">
        <f>D70+F70</f>
        <v>12470148</v>
      </c>
      <c r="I70" s="19">
        <f>IFERROR((D70/C70)^(1/6)-1,0)</f>
        <v>8.2244870140060655E-2</v>
      </c>
      <c r="J70" s="19">
        <f>IFERROR((H70/G70)^(1/6)-1,0)</f>
        <v>6.1025794780083853E-2</v>
      </c>
      <c r="K70" s="18">
        <f>($G70/Assumptions!$E$8+($H70/Assumptions!$E$14-$G70/Assumptions!$E$8)*(K$4-2019)/6)*INDEX(Assumptions!$E$5:$E$14,MATCH(K$4,Assumptions!$A$5:$A$14,0))</f>
        <v>7750946.0498274937</v>
      </c>
      <c r="L70" s="18">
        <f>($G70/Assumptions!$E$8+($H70/Assumptions!$E$14-$G70/Assumptions!$E$8)*(L$4-2019)/6)*INDEX(Assumptions!$E$5:$E$14,MATCH(L$4,Assumptions!$A$5:$A$14,0))</f>
        <v>8012567.4972709008</v>
      </c>
      <c r="M70" s="18">
        <f>($G70/Assumptions!$E$8+($H70/Assumptions!$E$14-$G70/Assumptions!$E$8)*(M$4-2019)/6)*INDEX(Assumptions!$E$5:$E$14,MATCH(M$4,Assumptions!$A$5:$A$14,0))</f>
        <v>8307126.1315378584</v>
      </c>
      <c r="N70" s="18">
        <f>($G70/Assumptions!$E$8+($H70/Assumptions!$E$14-$G70/Assumptions!$E$8)*(N$4-2019)/6)*INDEX(Assumptions!$E$5:$E$14,MATCH(N$4,Assumptions!$A$5:$A$14,0))</f>
        <v>8740091</v>
      </c>
      <c r="O70" s="18">
        <f>($G70/Assumptions!$E$8+($H70/Assumptions!$E$14-$G70/Assumptions!$E$8)*(O$4-2019)/6)*INDEX(Assumptions!$E$5:$E$14,MATCH(O$4,Assumptions!$A$5:$A$14,0))</f>
        <v>9296282.321266003</v>
      </c>
      <c r="P70" s="18">
        <f>($G70/Assumptions!$E$8+($H70/Assumptions!$E$14-$G70/Assumptions!$E$8)*(P$4-2019)/6)*INDEX(Assumptions!$E$5:$E$14,MATCH(P$4,Assumptions!$A$5:$A$14,0))</f>
        <v>10223138.733451769</v>
      </c>
      <c r="Q70" s="18">
        <f>($G70/Assumptions!$E$8+($H70/Assumptions!$E$14-$G70/Assumptions!$E$8)*(Q$4-2019)/6)*INDEX(Assumptions!$E$5:$E$14,MATCH(Q$4,Assumptions!$A$5:$A$14,0))</f>
        <v>11641338.577109564</v>
      </c>
      <c r="R70" s="18">
        <f>($G70/Assumptions!$E$8+($H70/Assumptions!$E$14-$G70/Assumptions!$E$8)*(R$4-2019)/6)*INDEX(Assumptions!$E$5:$E$14,MATCH(R$4,Assumptions!$A$5:$A$14,0))</f>
        <v>12194272.651254239</v>
      </c>
      <c r="S70" s="18">
        <f>($G70/Assumptions!$E$8+($H70/Assumptions!$E$14-$G70/Assumptions!$E$8)*(S$4-2019)/6)*INDEX(Assumptions!$E$5:$E$14,MATCH(S$4,Assumptions!$A$5:$A$14,0))</f>
        <v>12239140.04748385</v>
      </c>
      <c r="T70" s="18">
        <f>($G70/Assumptions!$E$8+($H70/Assumptions!$E$14-$G70/Assumptions!$E$8)*(T$4-2019)/6)*INDEX(Assumptions!$E$5:$E$14,MATCH(T$4,Assumptions!$A$5:$A$14,0))</f>
        <v>12470148</v>
      </c>
    </row>
    <row r="71" spans="1:20">
      <c r="A71" s="3" t="s">
        <v>160</v>
      </c>
      <c r="B71" s="3" t="s">
        <v>94</v>
      </c>
      <c r="C71" s="14">
        <v>2129352</v>
      </c>
      <c r="D71" s="14">
        <v>3450014</v>
      </c>
      <c r="E71" s="14">
        <v>3371120</v>
      </c>
      <c r="F71" s="14">
        <v>3887243</v>
      </c>
      <c r="G71" s="15">
        <f>C71+E71</f>
        <v>5500472</v>
      </c>
      <c r="H71" s="15">
        <f>D71+F71</f>
        <v>7337257</v>
      </c>
      <c r="I71" s="10">
        <f>IFERROR((D71/C71)^(1/6)-1,0)</f>
        <v>8.3749473703503163E-2</v>
      </c>
      <c r="J71" s="10">
        <f>IFERROR((H71/G71)^(1/6)-1,0)</f>
        <v>4.9193590501789286E-2</v>
      </c>
      <c r="K71" s="15">
        <f>($G71/Assumptions!$E$8+($H71/Assumptions!$E$14-$G71/Assumptions!$E$8)*(K$4-2019)/6)*INDEX(Assumptions!$E$5:$E$14,MATCH(K$4,Assumptions!$A$5:$A$14,0))</f>
        <v>5054204.9955787566</v>
      </c>
      <c r="L71" s="15">
        <f>($G71/Assumptions!$E$8+($H71/Assumptions!$E$14-$G71/Assumptions!$E$8)*(L$4-2019)/6)*INDEX(Assumptions!$E$5:$E$14,MATCH(L$4,Assumptions!$A$5:$A$14,0))</f>
        <v>5162600.0809786133</v>
      </c>
      <c r="M71" s="15">
        <f>($G71/Assumptions!$E$8+($H71/Assumptions!$E$14-$G71/Assumptions!$E$8)*(M$4-2019)/6)*INDEX(Assumptions!$E$5:$E$14,MATCH(M$4,Assumptions!$A$5:$A$14,0))</f>
        <v>5289444.3139468394</v>
      </c>
      <c r="N71" s="15">
        <f>($G71/Assumptions!$E$8+($H71/Assumptions!$E$14-$G71/Assumptions!$E$8)*(N$4-2019)/6)*INDEX(Assumptions!$E$5:$E$14,MATCH(N$4,Assumptions!$A$5:$A$14,0))</f>
        <v>5500472</v>
      </c>
      <c r="O71" s="15">
        <f>($G71/Assumptions!$E$8+($H71/Assumptions!$E$14-$G71/Assumptions!$E$8)*(O$4-2019)/6)*INDEX(Assumptions!$E$5:$E$14,MATCH(O$4,Assumptions!$A$5:$A$14,0))</f>
        <v>5783342.3036919022</v>
      </c>
      <c r="P71" s="15">
        <f>($G71/Assumptions!$E$8+($H71/Assumptions!$E$14-$G71/Assumptions!$E$8)*(P$4-2019)/6)*INDEX(Assumptions!$E$5:$E$14,MATCH(P$4,Assumptions!$A$5:$A$14,0))</f>
        <v>6287801.9339029556</v>
      </c>
      <c r="Q71" s="15">
        <f>($G71/Assumptions!$E$8+($H71/Assumptions!$E$14-$G71/Assumptions!$E$8)*(Q$4-2019)/6)*INDEX(Assumptions!$E$5:$E$14,MATCH(Q$4,Assumptions!$A$5:$A$14,0))</f>
        <v>7079793.2035848266</v>
      </c>
      <c r="R71" s="15">
        <f>($G71/Assumptions!$E$8+($H71/Assumptions!$E$14-$G71/Assumptions!$E$8)*(R$4-2019)/6)*INDEX(Assumptions!$E$5:$E$14,MATCH(R$4,Assumptions!$A$5:$A$14,0))</f>
        <v>7333872.1550390357</v>
      </c>
      <c r="S71" s="15">
        <f>($G71/Assumptions!$E$8+($H71/Assumptions!$E$14-$G71/Assumptions!$E$8)*(S$4-2019)/6)*INDEX(Assumptions!$E$5:$E$14,MATCH(S$4,Assumptions!$A$5:$A$14,0))</f>
        <v>7280204.4023457393</v>
      </c>
      <c r="T71" s="15">
        <f>($G71/Assumptions!$E$8+($H71/Assumptions!$E$14-$G71/Assumptions!$E$8)*(T$4-2019)/6)*INDEX(Assumptions!$E$5:$E$14,MATCH(T$4,Assumptions!$A$5:$A$14,0))</f>
        <v>7337257</v>
      </c>
    </row>
    <row r="72" spans="1:20">
      <c r="A72" s="16" t="s">
        <v>161</v>
      </c>
      <c r="B72" s="16" t="s">
        <v>94</v>
      </c>
      <c r="C72" s="17">
        <v>1214620</v>
      </c>
      <c r="D72" s="17">
        <v>2031405</v>
      </c>
      <c r="E72" s="17">
        <v>2414936</v>
      </c>
      <c r="F72" s="17">
        <v>2662469</v>
      </c>
      <c r="G72" s="18">
        <f>C72+E72</f>
        <v>3629556</v>
      </c>
      <c r="H72" s="18">
        <f>D72+F72</f>
        <v>4693874</v>
      </c>
      <c r="I72" s="19">
        <f>IFERROR((D72/C72)^(1/6)-1,0)</f>
        <v>8.9496940105337597E-2</v>
      </c>
      <c r="J72" s="19">
        <f>IFERROR((H72/G72)^(1/6)-1,0)</f>
        <v>4.3789653589283439E-2</v>
      </c>
      <c r="K72" s="18">
        <f>($G72/Assumptions!$E$8+($H72/Assumptions!$E$14-$G72/Assumptions!$E$8)*(K$4-2019)/6)*INDEX(Assumptions!$E$5:$E$14,MATCH(K$4,Assumptions!$A$5:$A$14,0))</f>
        <v>3386055.9801444709</v>
      </c>
      <c r="L72" s="18">
        <f>($G72/Assumptions!$E$8+($H72/Assumptions!$E$14-$G72/Assumptions!$E$8)*(L$4-2019)/6)*INDEX(Assumptions!$E$5:$E$14,MATCH(L$4,Assumptions!$A$5:$A$14,0))</f>
        <v>3441311.3576135798</v>
      </c>
      <c r="M72" s="18">
        <f>($G72/Assumptions!$E$8+($H72/Assumptions!$E$14-$G72/Assumptions!$E$8)*(M$4-2019)/6)*INDEX(Assumptions!$E$5:$E$14,MATCH(M$4,Assumptions!$A$5:$A$14,0))</f>
        <v>3508081.3302778061</v>
      </c>
      <c r="N72" s="18">
        <f>($G72/Assumptions!$E$8+($H72/Assumptions!$E$14-$G72/Assumptions!$E$8)*(N$4-2019)/6)*INDEX(Assumptions!$E$5:$E$14,MATCH(N$4,Assumptions!$A$5:$A$14,0))</f>
        <v>3629556</v>
      </c>
      <c r="O72" s="18">
        <f>($G72/Assumptions!$E$8+($H72/Assumptions!$E$14-$G72/Assumptions!$E$8)*(O$4-2019)/6)*INDEX(Assumptions!$E$5:$E$14,MATCH(O$4,Assumptions!$A$5:$A$14,0))</f>
        <v>3796785.8288531606</v>
      </c>
      <c r="P72" s="18">
        <f>($G72/Assumptions!$E$8+($H72/Assumptions!$E$14-$G72/Assumptions!$E$8)*(P$4-2019)/6)*INDEX(Assumptions!$E$5:$E$14,MATCH(P$4,Assumptions!$A$5:$A$14,0))</f>
        <v>4106854.6437267726</v>
      </c>
      <c r="Q72" s="18">
        <f>($G72/Assumptions!$E$8+($H72/Assumptions!$E$14-$G72/Assumptions!$E$8)*(Q$4-2019)/6)*INDEX(Assumptions!$E$5:$E$14,MATCH(Q$4,Assumptions!$A$5:$A$14,0))</f>
        <v>4600381.456479474</v>
      </c>
      <c r="R72" s="18">
        <f>($G72/Assumptions!$E$8+($H72/Assumptions!$E$14-$G72/Assumptions!$E$8)*(R$4-2019)/6)*INDEX(Assumptions!$E$5:$E$14,MATCH(R$4,Assumptions!$A$5:$A$14,0))</f>
        <v>4740878.347806422</v>
      </c>
      <c r="S72" s="18">
        <f>($G72/Assumptions!$E$8+($H72/Assumptions!$E$14-$G72/Assumptions!$E$8)*(S$4-2019)/6)*INDEX(Assumptions!$E$5:$E$14,MATCH(S$4,Assumptions!$A$5:$A$14,0))</f>
        <v>4681775.2326533999</v>
      </c>
      <c r="T72" s="18">
        <f>($G72/Assumptions!$E$8+($H72/Assumptions!$E$14-$G72/Assumptions!$E$8)*(T$4-2019)/6)*INDEX(Assumptions!$E$5:$E$14,MATCH(T$4,Assumptions!$A$5:$A$14,0))</f>
        <v>4693874</v>
      </c>
    </row>
    <row r="73" spans="1:20">
      <c r="A73" s="3" t="s">
        <v>162</v>
      </c>
      <c r="B73" s="3" t="s">
        <v>94</v>
      </c>
      <c r="C73" s="14">
        <v>2716954</v>
      </c>
      <c r="D73" s="14">
        <v>4545643</v>
      </c>
      <c r="E73" s="14">
        <v>9171046</v>
      </c>
      <c r="F73" s="14">
        <v>9732974</v>
      </c>
      <c r="G73" s="15">
        <f>C73+E73</f>
        <v>11888000</v>
      </c>
      <c r="H73" s="15">
        <f>D73+F73</f>
        <v>14278617</v>
      </c>
      <c r="I73" s="10">
        <f>IFERROR((D73/C73)^(1/6)-1,0)</f>
        <v>8.9562564425768043E-2</v>
      </c>
      <c r="J73" s="10">
        <f>IFERROR((H73/G73)^(1/6)-1,0)</f>
        <v>3.1010032589093184E-2</v>
      </c>
      <c r="K73" s="15">
        <f>($G73/Assumptions!$E$8+($H73/Assumptions!$E$14-$G73/Assumptions!$E$8)*(K$4-2019)/6)*INDEX(Assumptions!$E$5:$E$14,MATCH(K$4,Assumptions!$A$5:$A$14,0))</f>
        <v>11468478.423656886</v>
      </c>
      <c r="L73" s="15">
        <f>($G73/Assumptions!$E$8+($H73/Assumptions!$E$14-$G73/Assumptions!$E$8)*(L$4-2019)/6)*INDEX(Assumptions!$E$5:$E$14,MATCH(L$4,Assumptions!$A$5:$A$14,0))</f>
        <v>11528798.755880015</v>
      </c>
      <c r="M73" s="15">
        <f>($G73/Assumptions!$E$8+($H73/Assumptions!$E$14-$G73/Assumptions!$E$8)*(M$4-2019)/6)*INDEX(Assumptions!$E$5:$E$14,MATCH(M$4,Assumptions!$A$5:$A$14,0))</f>
        <v>11621943.883568132</v>
      </c>
      <c r="N73" s="15">
        <f>($G73/Assumptions!$E$8+($H73/Assumptions!$E$14-$G73/Assumptions!$E$8)*(N$4-2019)/6)*INDEX(Assumptions!$E$5:$E$14,MATCH(N$4,Assumptions!$A$5:$A$14,0))</f>
        <v>11888000</v>
      </c>
      <c r="O73" s="15">
        <f>($G73/Assumptions!$E$8+($H73/Assumptions!$E$14-$G73/Assumptions!$E$8)*(O$4-2019)/6)*INDEX(Assumptions!$E$5:$E$14,MATCH(O$4,Assumptions!$A$5:$A$14,0))</f>
        <v>12291675.143648941</v>
      </c>
      <c r="P73" s="15">
        <f>($G73/Assumptions!$E$8+($H73/Assumptions!$E$14-$G73/Assumptions!$E$8)*(P$4-2019)/6)*INDEX(Assumptions!$E$5:$E$14,MATCH(P$4,Assumptions!$A$5:$A$14,0))</f>
        <v>13138133.275769852</v>
      </c>
      <c r="Q73" s="15">
        <f>($G73/Assumptions!$E$8+($H73/Assumptions!$E$14-$G73/Assumptions!$E$8)*(Q$4-2019)/6)*INDEX(Assumptions!$E$5:$E$14,MATCH(Q$4,Assumptions!$A$5:$A$14,0))</f>
        <v>14538954.752536375</v>
      </c>
      <c r="R73" s="15">
        <f>($G73/Assumptions!$E$8+($H73/Assumptions!$E$14-$G73/Assumptions!$E$8)*(R$4-2019)/6)*INDEX(Assumptions!$E$5:$E$14,MATCH(R$4,Assumptions!$A$5:$A$14,0))</f>
        <v>14797712.09973719</v>
      </c>
      <c r="S73" s="15">
        <f>($G73/Assumptions!$E$8+($H73/Assumptions!$E$14-$G73/Assumptions!$E$8)*(S$4-2019)/6)*INDEX(Assumptions!$E$5:$E$14,MATCH(S$4,Assumptions!$A$5:$A$14,0))</f>
        <v>14428450.235729611</v>
      </c>
      <c r="T73" s="15">
        <f>($G73/Assumptions!$E$8+($H73/Assumptions!$E$14-$G73/Assumptions!$E$8)*(T$4-2019)/6)*INDEX(Assumptions!$E$5:$E$14,MATCH(T$4,Assumptions!$A$5:$A$14,0))</f>
        <v>14278617</v>
      </c>
    </row>
    <row r="74" spans="1:20">
      <c r="A74" s="16" t="s">
        <v>163</v>
      </c>
      <c r="B74" s="16" t="s">
        <v>94</v>
      </c>
      <c r="C74" s="17">
        <v>3281803</v>
      </c>
      <c r="D74" s="17">
        <v>5743356</v>
      </c>
      <c r="E74" s="17">
        <v>4056440</v>
      </c>
      <c r="F74" s="17">
        <v>5581019</v>
      </c>
      <c r="G74" s="18">
        <f>C74+E74</f>
        <v>7338243</v>
      </c>
      <c r="H74" s="18">
        <f>D74+F74</f>
        <v>11324375</v>
      </c>
      <c r="I74" s="19">
        <f>IFERROR((D74/C74)^(1/6)-1,0)</f>
        <v>9.776371449955068E-2</v>
      </c>
      <c r="J74" s="19">
        <f>IFERROR((H74/G74)^(1/6)-1,0)</f>
        <v>7.4988187974824205E-2</v>
      </c>
      <c r="K74" s="18">
        <f>($G74/Assumptions!$E$8+($H74/Assumptions!$E$14-$G74/Assumptions!$E$8)*(K$4-2019)/6)*INDEX(Assumptions!$E$5:$E$14,MATCH(K$4,Assumptions!$A$5:$A$14,0))</f>
        <v>6212908.3824072611</v>
      </c>
      <c r="L74" s="18">
        <f>($G74/Assumptions!$E$8+($H74/Assumptions!$E$14-$G74/Assumptions!$E$8)*(L$4-2019)/6)*INDEX(Assumptions!$E$5:$E$14,MATCH(L$4,Assumptions!$A$5:$A$14,0))</f>
        <v>6526676.9617283363</v>
      </c>
      <c r="M74" s="18">
        <f>($G74/Assumptions!$E$8+($H74/Assumptions!$E$14-$G74/Assumptions!$E$8)*(M$4-2019)/6)*INDEX(Assumptions!$E$5:$E$14,MATCH(M$4,Assumptions!$A$5:$A$14,0))</f>
        <v>6871913.3104422279</v>
      </c>
      <c r="N74" s="18">
        <f>($G74/Assumptions!$E$8+($H74/Assumptions!$E$14-$G74/Assumptions!$E$8)*(N$4-2019)/6)*INDEX(Assumptions!$E$5:$E$14,MATCH(N$4,Assumptions!$A$5:$A$14,0))</f>
        <v>7338243.0000000009</v>
      </c>
      <c r="O74" s="18">
        <f>($G74/Assumptions!$E$8+($H74/Assumptions!$E$14-$G74/Assumptions!$E$8)*(O$4-2019)/6)*INDEX(Assumptions!$E$5:$E$14,MATCH(O$4,Assumptions!$A$5:$A$14,0))</f>
        <v>7917584.5508568725</v>
      </c>
      <c r="P74" s="18">
        <f>($G74/Assumptions!$E$8+($H74/Assumptions!$E$14-$G74/Assumptions!$E$8)*(P$4-2019)/6)*INDEX(Assumptions!$E$5:$E$14,MATCH(P$4,Assumptions!$A$5:$A$14,0))</f>
        <v>8827686.5563649759</v>
      </c>
      <c r="Q74" s="18">
        <f>($G74/Assumptions!$E$8+($H74/Assumptions!$E$14-$G74/Assumptions!$E$8)*(Q$4-2019)/6)*INDEX(Assumptions!$E$5:$E$14,MATCH(Q$4,Assumptions!$A$5:$A$14,0))</f>
        <v>10186609.631652495</v>
      </c>
      <c r="R74" s="18">
        <f>($G74/Assumptions!$E$8+($H74/Assumptions!$E$14-$G74/Assumptions!$E$8)*(R$4-2019)/6)*INDEX(Assumptions!$E$5:$E$14,MATCH(R$4,Assumptions!$A$5:$A$14,0))</f>
        <v>10807953.690298172</v>
      </c>
      <c r="S74" s="18">
        <f>($G74/Assumptions!$E$8+($H74/Assumptions!$E$14-$G74/Assumptions!$E$8)*(S$4-2019)/6)*INDEX(Assumptions!$E$5:$E$14,MATCH(S$4,Assumptions!$A$5:$A$14,0))</f>
        <v>10982647.504810667</v>
      </c>
      <c r="T74" s="18">
        <f>($G74/Assumptions!$E$8+($H74/Assumptions!$E$14-$G74/Assumptions!$E$8)*(T$4-2019)/6)*INDEX(Assumptions!$E$5:$E$14,MATCH(T$4,Assumptions!$A$5:$A$14,0))</f>
        <v>11324375</v>
      </c>
    </row>
    <row r="75" spans="1:20">
      <c r="A75" s="3" t="s">
        <v>164</v>
      </c>
      <c r="B75" s="3" t="s">
        <v>94</v>
      </c>
      <c r="C75" s="14">
        <v>3434849</v>
      </c>
      <c r="D75" s="14">
        <v>4664462</v>
      </c>
      <c r="E75" s="14">
        <v>2616453</v>
      </c>
      <c r="F75" s="14">
        <v>2815926</v>
      </c>
      <c r="G75" s="15">
        <f>C75+E75</f>
        <v>6051302</v>
      </c>
      <c r="H75" s="15">
        <f>D75+F75</f>
        <v>7480388</v>
      </c>
      <c r="I75" s="10">
        <f>IFERROR((D75/C75)^(1/6)-1,0)</f>
        <v>5.2322811777500311E-2</v>
      </c>
      <c r="J75" s="10">
        <f>IFERROR((H75/G75)^(1/6)-1,0)</f>
        <v>3.596690788690915E-2</v>
      </c>
      <c r="K75" s="15">
        <f>($G75/Assumptions!$E$8+($H75/Assumptions!$E$14-$G75/Assumptions!$E$8)*(K$4-2019)/6)*INDEX(Assumptions!$E$5:$E$14,MATCH(K$4,Assumptions!$A$5:$A$14,0))</f>
        <v>5764523.1407931959</v>
      </c>
      <c r="L75" s="15">
        <f>($G75/Assumptions!$E$8+($H75/Assumptions!$E$14-$G75/Assumptions!$E$8)*(L$4-2019)/6)*INDEX(Assumptions!$E$5:$E$14,MATCH(L$4,Assumptions!$A$5:$A$14,0))</f>
        <v>5818602.2323595854</v>
      </c>
      <c r="M75" s="15">
        <f>($G75/Assumptions!$E$8+($H75/Assumptions!$E$14-$G75/Assumptions!$E$8)*(M$4-2019)/6)*INDEX(Assumptions!$E$5:$E$14,MATCH(M$4,Assumptions!$A$5:$A$14,0))</f>
        <v>5890337.174286278</v>
      </c>
      <c r="N75" s="15">
        <f>($G75/Assumptions!$E$8+($H75/Assumptions!$E$14-$G75/Assumptions!$E$8)*(N$4-2019)/6)*INDEX(Assumptions!$E$5:$E$14,MATCH(N$4,Assumptions!$A$5:$A$14,0))</f>
        <v>6051302</v>
      </c>
      <c r="O75" s="15">
        <f>($G75/Assumptions!$E$8+($H75/Assumptions!$E$14-$G75/Assumptions!$E$8)*(O$4-2019)/6)*INDEX(Assumptions!$E$5:$E$14,MATCH(O$4,Assumptions!$A$5:$A$14,0))</f>
        <v>6284690.4989875732</v>
      </c>
      <c r="P75" s="15">
        <f>($G75/Assumptions!$E$8+($H75/Assumptions!$E$14-$G75/Assumptions!$E$8)*(P$4-2019)/6)*INDEX(Assumptions!$E$5:$E$14,MATCH(P$4,Assumptions!$A$5:$A$14,0))</f>
        <v>6748322.1813331824</v>
      </c>
      <c r="Q75" s="15">
        <f>($G75/Assumptions!$E$8+($H75/Assumptions!$E$14-$G75/Assumptions!$E$8)*(Q$4-2019)/6)*INDEX(Assumptions!$E$5:$E$14,MATCH(Q$4,Assumptions!$A$5:$A$14,0))</f>
        <v>7503151.723537961</v>
      </c>
      <c r="R75" s="15">
        <f>($G75/Assumptions!$E$8+($H75/Assumptions!$E$14-$G75/Assumptions!$E$8)*(R$4-2019)/6)*INDEX(Assumptions!$E$5:$E$14,MATCH(R$4,Assumptions!$A$5:$A$14,0))</f>
        <v>7673884.9457254047</v>
      </c>
      <c r="S75" s="15">
        <f>($G75/Assumptions!$E$8+($H75/Assumptions!$E$14-$G75/Assumptions!$E$8)*(S$4-2019)/6)*INDEX(Assumptions!$E$5:$E$14,MATCH(S$4,Assumptions!$A$5:$A$14,0))</f>
        <v>7519954.1636898331</v>
      </c>
      <c r="T75" s="15">
        <f>($G75/Assumptions!$E$8+($H75/Assumptions!$E$14-$G75/Assumptions!$E$8)*(T$4-2019)/6)*INDEX(Assumptions!$E$5:$E$14,MATCH(T$4,Assumptions!$A$5:$A$14,0))</f>
        <v>7480388</v>
      </c>
    </row>
    <row r="76" spans="1:20">
      <c r="A76" s="16" t="s">
        <v>165</v>
      </c>
      <c r="B76" s="16" t="s">
        <v>94</v>
      </c>
      <c r="C76" s="17">
        <v>2693920</v>
      </c>
      <c r="D76" s="17">
        <v>4500528</v>
      </c>
      <c r="E76" s="17">
        <v>5561696</v>
      </c>
      <c r="F76" s="17">
        <v>7048446</v>
      </c>
      <c r="G76" s="18">
        <f>C76+E76</f>
        <v>8255616</v>
      </c>
      <c r="H76" s="18">
        <f>D76+F76</f>
        <v>11548974</v>
      </c>
      <c r="I76" s="19">
        <f>IFERROR((D76/C76)^(1/6)-1,0)</f>
        <v>8.9297387981856158E-2</v>
      </c>
      <c r="J76" s="19">
        <f>IFERROR((H76/G76)^(1/6)-1,0)</f>
        <v>5.7545317347641012E-2</v>
      </c>
      <c r="K76" s="18">
        <f>($G76/Assumptions!$E$8+($H76/Assumptions!$E$14-$G76/Assumptions!$E$8)*(K$4-2019)/6)*INDEX(Assumptions!$E$5:$E$14,MATCH(K$4,Assumptions!$A$5:$A$14,0))</f>
        <v>7400653.3827118445</v>
      </c>
      <c r="L76" s="18">
        <f>($G76/Assumptions!$E$8+($H76/Assumptions!$E$14-$G76/Assumptions!$E$8)*(L$4-2019)/6)*INDEX(Assumptions!$E$5:$E$14,MATCH(L$4,Assumptions!$A$5:$A$14,0))</f>
        <v>7622444.5095153283</v>
      </c>
      <c r="M76" s="18">
        <f>($G76/Assumptions!$E$8+($H76/Assumptions!$E$14-$G76/Assumptions!$E$8)*(M$4-2019)/6)*INDEX(Assumptions!$E$5:$E$14,MATCH(M$4,Assumptions!$A$5:$A$14,0))</f>
        <v>7874320.7248412948</v>
      </c>
      <c r="N76" s="18">
        <f>($G76/Assumptions!$E$8+($H76/Assumptions!$E$14-$G76/Assumptions!$E$8)*(N$4-2019)/6)*INDEX(Assumptions!$E$5:$E$14,MATCH(N$4,Assumptions!$A$5:$A$14,0))</f>
        <v>8255616</v>
      </c>
      <c r="O76" s="18">
        <f>($G76/Assumptions!$E$8+($H76/Assumptions!$E$14-$G76/Assumptions!$E$8)*(O$4-2019)/6)*INDEX(Assumptions!$E$5:$E$14,MATCH(O$4,Assumptions!$A$5:$A$14,0))</f>
        <v>8750736.8497323468</v>
      </c>
      <c r="P76" s="18">
        <f>($G76/Assumptions!$E$8+($H76/Assumptions!$E$14-$G76/Assumptions!$E$8)*(P$4-2019)/6)*INDEX(Assumptions!$E$5:$E$14,MATCH(P$4,Assumptions!$A$5:$A$14,0))</f>
        <v>9590715.4027472641</v>
      </c>
      <c r="Q76" s="18">
        <f>($G76/Assumptions!$E$8+($H76/Assumptions!$E$14-$G76/Assumptions!$E$8)*(Q$4-2019)/6)*INDEX(Assumptions!$E$5:$E$14,MATCH(Q$4,Assumptions!$A$5:$A$14,0))</f>
        <v>10885035.765919253</v>
      </c>
      <c r="R76" s="18">
        <f>($G76/Assumptions!$E$8+($H76/Assumptions!$E$14-$G76/Assumptions!$E$8)*(R$4-2019)/6)*INDEX(Assumptions!$E$5:$E$14,MATCH(R$4,Assumptions!$A$5:$A$14,0))</f>
        <v>11365039.461371528</v>
      </c>
      <c r="S76" s="18">
        <f>($G76/Assumptions!$E$8+($H76/Assumptions!$E$14-$G76/Assumptions!$E$8)*(S$4-2019)/6)*INDEX(Assumptions!$E$5:$E$14,MATCH(S$4,Assumptions!$A$5:$A$14,0))</f>
        <v>11370541.903843071</v>
      </c>
      <c r="T76" s="18">
        <f>($G76/Assumptions!$E$8+($H76/Assumptions!$E$14-$G76/Assumptions!$E$8)*(T$4-2019)/6)*INDEX(Assumptions!$E$5:$E$14,MATCH(T$4,Assumptions!$A$5:$A$14,0))</f>
        <v>11548974</v>
      </c>
    </row>
    <row r="77" spans="1:20">
      <c r="A77" s="3" t="s">
        <v>166</v>
      </c>
      <c r="B77" s="3" t="s">
        <v>94</v>
      </c>
      <c r="C77" s="14">
        <v>69044465</v>
      </c>
      <c r="D77" s="14">
        <v>100052432</v>
      </c>
      <c r="E77" s="14">
        <v>84858895</v>
      </c>
      <c r="F77" s="14">
        <v>108575221</v>
      </c>
      <c r="G77" s="15">
        <f>C77+E77</f>
        <v>153903360</v>
      </c>
      <c r="H77" s="15">
        <f>D77+F77</f>
        <v>208627653</v>
      </c>
      <c r="I77" s="10">
        <f>IFERROR((D77/C77)^(1/6)-1,0)</f>
        <v>6.3775041999853066E-2</v>
      </c>
      <c r="J77" s="10">
        <f>IFERROR((H77/G77)^(1/6)-1,0)</f>
        <v>5.2011842016796095E-2</v>
      </c>
      <c r="K77" s="15">
        <f>($G77/Assumptions!$E$8+($H77/Assumptions!$E$14-$G77/Assumptions!$E$8)*(K$4-2019)/6)*INDEX(Assumptions!$E$5:$E$14,MATCH(K$4,Assumptions!$A$5:$A$14,0))</f>
        <v>140267248.31201124</v>
      </c>
      <c r="L77" s="15">
        <f>($G77/Assumptions!$E$8+($H77/Assumptions!$E$14-$G77/Assumptions!$E$8)*(L$4-2019)/6)*INDEX(Assumptions!$E$5:$E$14,MATCH(L$4,Assumptions!$A$5:$A$14,0))</f>
        <v>143667065.91287172</v>
      </c>
      <c r="M77" s="15">
        <f>($G77/Assumptions!$E$8+($H77/Assumptions!$E$14-$G77/Assumptions!$E$8)*(M$4-2019)/6)*INDEX(Assumptions!$E$5:$E$14,MATCH(M$4,Assumptions!$A$5:$A$14,0))</f>
        <v>147597959.4072172</v>
      </c>
      <c r="N77" s="15">
        <f>($G77/Assumptions!$E$8+($H77/Assumptions!$E$14-$G77/Assumptions!$E$8)*(N$4-2019)/6)*INDEX(Assumptions!$E$5:$E$14,MATCH(N$4,Assumptions!$A$5:$A$14,0))</f>
        <v>153903360</v>
      </c>
      <c r="O77" s="15">
        <f>($G77/Assumptions!$E$8+($H77/Assumptions!$E$14-$G77/Assumptions!$E$8)*(O$4-2019)/6)*INDEX(Assumptions!$E$5:$E$14,MATCH(O$4,Assumptions!$A$5:$A$14,0))</f>
        <v>162256153.43907273</v>
      </c>
      <c r="P77" s="15">
        <f>($G77/Assumptions!$E$8+($H77/Assumptions!$E$14-$G77/Assumptions!$E$8)*(P$4-2019)/6)*INDEX(Assumptions!$E$5:$E$14,MATCH(P$4,Assumptions!$A$5:$A$14,0))</f>
        <v>176885235.14895043</v>
      </c>
      <c r="Q77" s="15">
        <f>($G77/Assumptions!$E$8+($H77/Assumptions!$E$14-$G77/Assumptions!$E$8)*(Q$4-2019)/6)*INDEX(Assumptions!$E$5:$E$14,MATCH(Q$4,Assumptions!$A$5:$A$14,0))</f>
        <v>199700933.01623869</v>
      </c>
      <c r="R77" s="15">
        <f>($G77/Assumptions!$E$8+($H77/Assumptions!$E$14-$G77/Assumptions!$E$8)*(R$4-2019)/6)*INDEX(Assumptions!$E$5:$E$14,MATCH(R$4,Assumptions!$A$5:$A$14,0))</f>
        <v>207422568.60056657</v>
      </c>
      <c r="S77" s="15">
        <f>($G77/Assumptions!$E$8+($H77/Assumptions!$E$14-$G77/Assumptions!$E$8)*(S$4-2019)/6)*INDEX(Assumptions!$E$5:$E$14,MATCH(S$4,Assumptions!$A$5:$A$14,0))</f>
        <v>206455177.59083089</v>
      </c>
      <c r="T77" s="15">
        <f>($G77/Assumptions!$E$8+($H77/Assumptions!$E$14-$G77/Assumptions!$E$8)*(T$4-2019)/6)*INDEX(Assumptions!$E$5:$E$14,MATCH(T$4,Assumptions!$A$5:$A$14,0))</f>
        <v>208627653</v>
      </c>
    </row>
    <row r="78" spans="1:20">
      <c r="A78" s="16" t="s">
        <v>167</v>
      </c>
      <c r="B78" s="16" t="s">
        <v>94</v>
      </c>
      <c r="C78" s="17">
        <v>4423149</v>
      </c>
      <c r="D78" s="17">
        <v>6023844</v>
      </c>
      <c r="E78" s="17">
        <v>4399916</v>
      </c>
      <c r="F78" s="17">
        <v>5043921</v>
      </c>
      <c r="G78" s="18">
        <f>C78+E78</f>
        <v>8823065</v>
      </c>
      <c r="H78" s="18">
        <f>D78+F78</f>
        <v>11067765</v>
      </c>
      <c r="I78" s="19">
        <f>IFERROR((D78/C78)^(1/6)-1,0)</f>
        <v>5.2827025433919816E-2</v>
      </c>
      <c r="J78" s="19">
        <f>IFERROR((H78/G78)^(1/6)-1,0)</f>
        <v>3.8500576020095378E-2</v>
      </c>
      <c r="K78" s="18">
        <f>($G78/Assumptions!$E$8+($H78/Assumptions!$E$14-$G78/Assumptions!$E$8)*(K$4-2019)/6)*INDEX(Assumptions!$E$5:$E$14,MATCH(K$4,Assumptions!$A$5:$A$14,0))</f>
        <v>8349356.4325900683</v>
      </c>
      <c r="L78" s="18">
        <f>($G78/Assumptions!$E$8+($H78/Assumptions!$E$14-$G78/Assumptions!$E$8)*(L$4-2019)/6)*INDEX(Assumptions!$E$5:$E$14,MATCH(L$4,Assumptions!$A$5:$A$14,0))</f>
        <v>8445944.0633912608</v>
      </c>
      <c r="M78" s="18">
        <f>($G78/Assumptions!$E$8+($H78/Assumptions!$E$14-$G78/Assumptions!$E$8)*(M$4-2019)/6)*INDEX(Assumptions!$E$5:$E$14,MATCH(M$4,Assumptions!$A$5:$A$14,0))</f>
        <v>8568993.4734803345</v>
      </c>
      <c r="N78" s="18">
        <f>($G78/Assumptions!$E$8+($H78/Assumptions!$E$14-$G78/Assumptions!$E$8)*(N$4-2019)/6)*INDEX(Assumptions!$E$5:$E$14,MATCH(N$4,Assumptions!$A$5:$A$14,0))</f>
        <v>8823065</v>
      </c>
      <c r="O78" s="18">
        <f>($G78/Assumptions!$E$8+($H78/Assumptions!$E$14-$G78/Assumptions!$E$8)*(O$4-2019)/6)*INDEX(Assumptions!$E$5:$E$14,MATCH(O$4,Assumptions!$A$5:$A$14,0))</f>
        <v>9184533.4478263296</v>
      </c>
      <c r="P78" s="18">
        <f>($G78/Assumptions!$E$8+($H78/Assumptions!$E$14-$G78/Assumptions!$E$8)*(P$4-2019)/6)*INDEX(Assumptions!$E$5:$E$14,MATCH(P$4,Assumptions!$A$5:$A$14,0))</f>
        <v>9885390.9382751621</v>
      </c>
      <c r="Q78" s="18">
        <f>($G78/Assumptions!$E$8+($H78/Assumptions!$E$14-$G78/Assumptions!$E$8)*(Q$4-2019)/6)*INDEX(Assumptions!$E$5:$E$14,MATCH(Q$4,Assumptions!$A$5:$A$14,0))</f>
        <v>11017666.931229103</v>
      </c>
      <c r="R78" s="18">
        <f>($G78/Assumptions!$E$8+($H78/Assumptions!$E$14-$G78/Assumptions!$E$8)*(R$4-2019)/6)*INDEX(Assumptions!$E$5:$E$14,MATCH(R$4,Assumptions!$A$5:$A$14,0))</f>
        <v>11296213.410450043</v>
      </c>
      <c r="S78" s="18">
        <f>($G78/Assumptions!$E$8+($H78/Assumptions!$E$14-$G78/Assumptions!$E$8)*(S$4-2019)/6)*INDEX(Assumptions!$E$5:$E$14,MATCH(S$4,Assumptions!$A$5:$A$14,0))</f>
        <v>11097601.905825716</v>
      </c>
      <c r="T78" s="18">
        <f>($G78/Assumptions!$E$8+($H78/Assumptions!$E$14-$G78/Assumptions!$E$8)*(T$4-2019)/6)*INDEX(Assumptions!$E$5:$E$14,MATCH(T$4,Assumptions!$A$5:$A$14,0))</f>
        <v>11067765</v>
      </c>
    </row>
    <row r="79" spans="1:20">
      <c r="A79" s="3" t="s">
        <v>168</v>
      </c>
      <c r="B79" s="3" t="s">
        <v>94</v>
      </c>
      <c r="C79" s="14">
        <v>591761</v>
      </c>
      <c r="D79" s="14">
        <v>1084801</v>
      </c>
      <c r="E79" s="14">
        <v>951289</v>
      </c>
      <c r="F79" s="14">
        <v>1055013</v>
      </c>
      <c r="G79" s="15">
        <f>C79+E79</f>
        <v>1543050</v>
      </c>
      <c r="H79" s="15">
        <f>D79+F79</f>
        <v>2139814</v>
      </c>
      <c r="I79" s="10">
        <f>IFERROR((D79/C79)^(1/6)-1,0)</f>
        <v>0.10628567673623568</v>
      </c>
      <c r="J79" s="10">
        <f>IFERROR((H79/G79)^(1/6)-1,0)</f>
        <v>5.6005072402771638E-2</v>
      </c>
      <c r="K79" s="15">
        <f>($G79/Assumptions!$E$8+($H79/Assumptions!$E$14-$G79/Assumptions!$E$8)*(K$4-2019)/6)*INDEX(Assumptions!$E$5:$E$14,MATCH(K$4,Assumptions!$A$5:$A$14,0))</f>
        <v>1389735.8442433113</v>
      </c>
      <c r="L79" s="15">
        <f>($G79/Assumptions!$E$8+($H79/Assumptions!$E$14-$G79/Assumptions!$E$8)*(L$4-2019)/6)*INDEX(Assumptions!$E$5:$E$14,MATCH(L$4,Assumptions!$A$5:$A$14,0))</f>
        <v>1429120.3365534907</v>
      </c>
      <c r="M79" s="15">
        <f>($G79/Assumptions!$E$8+($H79/Assumptions!$E$14-$G79/Assumptions!$E$8)*(M$4-2019)/6)*INDEX(Assumptions!$E$5:$E$14,MATCH(M$4,Assumptions!$A$5:$A$14,0))</f>
        <v>1474044.11470907</v>
      </c>
      <c r="N79" s="15">
        <f>($G79/Assumptions!$E$8+($H79/Assumptions!$E$14-$G79/Assumptions!$E$8)*(N$4-2019)/6)*INDEX(Assumptions!$E$5:$E$14,MATCH(N$4,Assumptions!$A$5:$A$14,0))</f>
        <v>1543050</v>
      </c>
      <c r="O79" s="15">
        <f>($G79/Assumptions!$E$8+($H79/Assumptions!$E$14-$G79/Assumptions!$E$8)*(O$4-2019)/6)*INDEX(Assumptions!$E$5:$E$14,MATCH(O$4,Assumptions!$A$5:$A$14,0))</f>
        <v>1633120.8345669743</v>
      </c>
      <c r="P79" s="15">
        <f>($G79/Assumptions!$E$8+($H79/Assumptions!$E$14-$G79/Assumptions!$E$8)*(P$4-2019)/6)*INDEX(Assumptions!$E$5:$E$14,MATCH(P$4,Assumptions!$A$5:$A$14,0))</f>
        <v>1787218.7028030546</v>
      </c>
      <c r="Q79" s="15">
        <f>($G79/Assumptions!$E$8+($H79/Assumptions!$E$14-$G79/Assumptions!$E$8)*(Q$4-2019)/6)*INDEX(Assumptions!$E$5:$E$14,MATCH(Q$4,Assumptions!$A$5:$A$14,0))</f>
        <v>2025438.9628613433</v>
      </c>
      <c r="R79" s="15">
        <f>($G79/Assumptions!$E$8+($H79/Assumptions!$E$14-$G79/Assumptions!$E$8)*(R$4-2019)/6)*INDEX(Assumptions!$E$5:$E$14,MATCH(R$4,Assumptions!$A$5:$A$14,0))</f>
        <v>2111700.0952492058</v>
      </c>
      <c r="S79" s="15">
        <f>($G79/Assumptions!$E$8+($H79/Assumptions!$E$14-$G79/Assumptions!$E$8)*(S$4-2019)/6)*INDEX(Assumptions!$E$5:$E$14,MATCH(S$4,Assumptions!$A$5:$A$14,0))</f>
        <v>2109714.2118520457</v>
      </c>
      <c r="T79" s="15">
        <f>($G79/Assumptions!$E$8+($H79/Assumptions!$E$14-$G79/Assumptions!$E$8)*(T$4-2019)/6)*INDEX(Assumptions!$E$5:$E$14,MATCH(T$4,Assumptions!$A$5:$A$14,0))</f>
        <v>2139814</v>
      </c>
    </row>
    <row r="80" spans="1:20">
      <c r="A80" s="16" t="s">
        <v>169</v>
      </c>
      <c r="B80" s="16" t="s">
        <v>94</v>
      </c>
      <c r="C80" s="17">
        <v>1604183</v>
      </c>
      <c r="D80" s="17">
        <v>1721141</v>
      </c>
      <c r="E80" s="17">
        <v>1100591</v>
      </c>
      <c r="F80" s="17">
        <v>1376312</v>
      </c>
      <c r="G80" s="18">
        <f>C80+E80</f>
        <v>2704774</v>
      </c>
      <c r="H80" s="18">
        <f>D80+F80</f>
        <v>3097453</v>
      </c>
      <c r="I80" s="19">
        <f>IFERROR((D80/C80)^(1/6)-1,0)</f>
        <v>1.1797860554205064E-2</v>
      </c>
      <c r="J80" s="19">
        <f>IFERROR((H80/G80)^(1/6)-1,0)</f>
        <v>2.2850802790705282E-2</v>
      </c>
      <c r="K80" s="18">
        <f>($G80/Assumptions!$E$8+($H80/Assumptions!$E$14-$G80/Assumptions!$E$8)*(K$4-2019)/6)*INDEX(Assumptions!$E$5:$E$14,MATCH(K$4,Assumptions!$A$5:$A$14,0))</f>
        <v>2661516.884302217</v>
      </c>
      <c r="L80" s="18">
        <f>($G80/Assumptions!$E$8+($H80/Assumptions!$E$14-$G80/Assumptions!$E$8)*(L$4-2019)/6)*INDEX(Assumptions!$E$5:$E$14,MATCH(L$4,Assumptions!$A$5:$A$14,0))</f>
        <v>2658581.7574620401</v>
      </c>
      <c r="M80" s="18">
        <f>($G80/Assumptions!$E$8+($H80/Assumptions!$E$14-$G80/Assumptions!$E$8)*(M$4-2019)/6)*INDEX(Assumptions!$E$5:$E$14,MATCH(M$4,Assumptions!$A$5:$A$14,0))</f>
        <v>2662439.9099373966</v>
      </c>
      <c r="N80" s="18">
        <f>($G80/Assumptions!$E$8+($H80/Assumptions!$E$14-$G80/Assumptions!$E$8)*(N$4-2019)/6)*INDEX(Assumptions!$E$5:$E$14,MATCH(N$4,Assumptions!$A$5:$A$14,0))</f>
        <v>2704774</v>
      </c>
      <c r="O80" s="18">
        <f>($G80/Assumptions!$E$8+($H80/Assumptions!$E$14-$G80/Assumptions!$E$8)*(O$4-2019)/6)*INDEX(Assumptions!$E$5:$E$14,MATCH(O$4,Assumptions!$A$5:$A$14,0))</f>
        <v>2776728.8037647284</v>
      </c>
      <c r="P80" s="18">
        <f>($G80/Assumptions!$E$8+($H80/Assumptions!$E$14-$G80/Assumptions!$E$8)*(P$4-2019)/6)*INDEX(Assumptions!$E$5:$E$14,MATCH(P$4,Assumptions!$A$5:$A$14,0))</f>
        <v>2945965.9073699061</v>
      </c>
      <c r="Q80" s="18">
        <f>($G80/Assumptions!$E$8+($H80/Assumptions!$E$14-$G80/Assumptions!$E$8)*(Q$4-2019)/6)*INDEX(Assumptions!$E$5:$E$14,MATCH(Q$4,Assumptions!$A$5:$A$14,0))</f>
        <v>3234909.2168767438</v>
      </c>
      <c r="R80" s="18">
        <f>($G80/Assumptions!$E$8+($H80/Assumptions!$E$14-$G80/Assumptions!$E$8)*(R$4-2019)/6)*INDEX(Assumptions!$E$5:$E$14,MATCH(R$4,Assumptions!$A$5:$A$14,0))</f>
        <v>3265972.6992832427</v>
      </c>
      <c r="S80" s="18">
        <f>($G80/Assumptions!$E$8+($H80/Assumptions!$E$14-$G80/Assumptions!$E$8)*(S$4-2019)/6)*INDEX(Assumptions!$E$5:$E$14,MATCH(S$4,Assumptions!$A$5:$A$14,0))</f>
        <v>3157701.8728831308</v>
      </c>
      <c r="T80" s="18">
        <f>($G80/Assumptions!$E$8+($H80/Assumptions!$E$14-$G80/Assumptions!$E$8)*(T$4-2019)/6)*INDEX(Assumptions!$E$5:$E$14,MATCH(T$4,Assumptions!$A$5:$A$14,0))</f>
        <v>3097453</v>
      </c>
    </row>
    <row r="81" spans="1:20">
      <c r="A81" s="3" t="s">
        <v>170</v>
      </c>
      <c r="B81" s="3" t="s">
        <v>94</v>
      </c>
      <c r="C81" s="14">
        <v>12537448</v>
      </c>
      <c r="D81" s="14">
        <v>17573701</v>
      </c>
      <c r="E81" s="14">
        <v>14095558</v>
      </c>
      <c r="F81" s="14">
        <v>16739219</v>
      </c>
      <c r="G81" s="15">
        <f>C81+E81</f>
        <v>26633006</v>
      </c>
      <c r="H81" s="15">
        <f>D81+F81</f>
        <v>34312920</v>
      </c>
      <c r="I81" s="10">
        <f>IFERROR((D81/C81)^(1/6)-1,0)</f>
        <v>5.7894472729004054E-2</v>
      </c>
      <c r="J81" s="10">
        <f>IFERROR((H81/G81)^(1/6)-1,0)</f>
        <v>4.3132752770700611E-2</v>
      </c>
      <c r="K81" s="15">
        <f>($G81/Assumptions!$E$8+($H81/Assumptions!$E$14-$G81/Assumptions!$E$8)*(K$4-2019)/6)*INDEX(Assumptions!$E$5:$E$14,MATCH(K$4,Assumptions!$A$5:$A$14,0))</f>
        <v>24891061.394689411</v>
      </c>
      <c r="L81" s="15">
        <f>($G81/Assumptions!$E$8+($H81/Assumptions!$E$14-$G81/Assumptions!$E$8)*(L$4-2019)/6)*INDEX(Assumptions!$E$5:$E$14,MATCH(L$4,Assumptions!$A$5:$A$14,0))</f>
        <v>25282211.308125973</v>
      </c>
      <c r="M81" s="15">
        <f>($G81/Assumptions!$E$8+($H81/Assumptions!$E$14-$G81/Assumptions!$E$8)*(M$4-2019)/6)*INDEX(Assumptions!$E$5:$E$14,MATCH(M$4,Assumptions!$A$5:$A$14,0))</f>
        <v>25757273.564071525</v>
      </c>
      <c r="N81" s="15">
        <f>($G81/Assumptions!$E$8+($H81/Assumptions!$E$14-$G81/Assumptions!$E$8)*(N$4-2019)/6)*INDEX(Assumptions!$E$5:$E$14,MATCH(N$4,Assumptions!$A$5:$A$14,0))</f>
        <v>26633006</v>
      </c>
      <c r="O81" s="15">
        <f>($G81/Assumptions!$E$8+($H81/Assumptions!$E$14-$G81/Assumptions!$E$8)*(O$4-2019)/6)*INDEX(Assumptions!$E$5:$E$14,MATCH(O$4,Assumptions!$A$5:$A$14,0))</f>
        <v>27843029.752846204</v>
      </c>
      <c r="P81" s="15">
        <f>($G81/Assumptions!$E$8+($H81/Assumptions!$E$14-$G81/Assumptions!$E$8)*(P$4-2019)/6)*INDEX(Assumptions!$E$5:$E$14,MATCH(P$4,Assumptions!$A$5:$A$14,0))</f>
        <v>30098208.360431861</v>
      </c>
      <c r="Q81" s="15">
        <f>($G81/Assumptions!$E$8+($H81/Assumptions!$E$14-$G81/Assumptions!$E$8)*(Q$4-2019)/6)*INDEX(Assumptions!$E$5:$E$14,MATCH(Q$4,Assumptions!$A$5:$A$14,0))</f>
        <v>33694052.512013406</v>
      </c>
      <c r="R81" s="15">
        <f>($G81/Assumptions!$E$8+($H81/Assumptions!$E$14-$G81/Assumptions!$E$8)*(R$4-2019)/6)*INDEX(Assumptions!$E$5:$E$14,MATCH(R$4,Assumptions!$A$5:$A$14,0))</f>
        <v>34701115.286049351</v>
      </c>
      <c r="S81" s="15">
        <f>($G81/Assumptions!$E$8+($H81/Assumptions!$E$14-$G81/Assumptions!$E$8)*(S$4-2019)/6)*INDEX(Assumptions!$E$5:$E$14,MATCH(S$4,Assumptions!$A$5:$A$14,0))</f>
        <v>34246601.420736417</v>
      </c>
      <c r="T81" s="15">
        <f>($G81/Assumptions!$E$8+($H81/Assumptions!$E$14-$G81/Assumptions!$E$8)*(T$4-2019)/6)*INDEX(Assumptions!$E$5:$E$14,MATCH(T$4,Assumptions!$A$5:$A$14,0))</f>
        <v>34312920</v>
      </c>
    </row>
    <row r="82" spans="1:20">
      <c r="A82" s="16" t="s">
        <v>171</v>
      </c>
      <c r="B82" s="16" t="s">
        <v>94</v>
      </c>
      <c r="C82" s="17">
        <v>2904718</v>
      </c>
      <c r="D82" s="17">
        <v>4572632</v>
      </c>
      <c r="E82" s="17">
        <v>2818785</v>
      </c>
      <c r="F82" s="17">
        <v>3504561</v>
      </c>
      <c r="G82" s="18">
        <f>C82+E82</f>
        <v>5723503</v>
      </c>
      <c r="H82" s="18">
        <f>D82+F82</f>
        <v>8077193</v>
      </c>
      <c r="I82" s="19">
        <f>IFERROR((D82/C82)^(1/6)-1,0)</f>
        <v>7.8558516761838781E-2</v>
      </c>
      <c r="J82" s="19">
        <f>IFERROR((H82/G82)^(1/6)-1,0)</f>
        <v>5.9090545006250217E-2</v>
      </c>
      <c r="K82" s="18">
        <f>($G82/Assumptions!$E$8+($H82/Assumptions!$E$14-$G82/Assumptions!$E$8)*(K$4-2019)/6)*INDEX(Assumptions!$E$5:$E$14,MATCH(K$4,Assumptions!$A$5:$A$14,0))</f>
        <v>5106456.2960266052</v>
      </c>
      <c r="L82" s="18">
        <f>($G82/Assumptions!$E$8+($H82/Assumptions!$E$14-$G82/Assumptions!$E$8)*(L$4-2019)/6)*INDEX(Assumptions!$E$5:$E$14,MATCH(L$4,Assumptions!$A$5:$A$14,0))</f>
        <v>5267981.3840031009</v>
      </c>
      <c r="M82" s="18">
        <f>($G82/Assumptions!$E$8+($H82/Assumptions!$E$14-$G82/Assumptions!$E$8)*(M$4-2019)/6)*INDEX(Assumptions!$E$5:$E$14,MATCH(M$4,Assumptions!$A$5:$A$14,0))</f>
        <v>5450678.5075605279</v>
      </c>
      <c r="N82" s="18">
        <f>($G82/Assumptions!$E$8+($H82/Assumptions!$E$14-$G82/Assumptions!$E$8)*(N$4-2019)/6)*INDEX(Assumptions!$E$5:$E$14,MATCH(N$4,Assumptions!$A$5:$A$14,0))</f>
        <v>5723503</v>
      </c>
      <c r="O82" s="18">
        <f>($G82/Assumptions!$E$8+($H82/Assumptions!$E$14-$G82/Assumptions!$E$8)*(O$4-2019)/6)*INDEX(Assumptions!$E$5:$E$14,MATCH(O$4,Assumptions!$A$5:$A$14,0))</f>
        <v>6076028.6819366906</v>
      </c>
      <c r="P82" s="18">
        <f>($G82/Assumptions!$E$8+($H82/Assumptions!$E$14-$G82/Assumptions!$E$8)*(P$4-2019)/6)*INDEX(Assumptions!$E$5:$E$14,MATCH(P$4,Assumptions!$A$5:$A$14,0))</f>
        <v>6669251.2904174514</v>
      </c>
      <c r="Q82" s="18">
        <f>($G82/Assumptions!$E$8+($H82/Assumptions!$E$14-$G82/Assumptions!$E$8)*(Q$4-2019)/6)*INDEX(Assumptions!$E$5:$E$14,MATCH(Q$4,Assumptions!$A$5:$A$14,0))</f>
        <v>7580454.8837759802</v>
      </c>
      <c r="R82" s="18">
        <f>($G82/Assumptions!$E$8+($H82/Assumptions!$E$14-$G82/Assumptions!$E$8)*(R$4-2019)/6)*INDEX(Assumptions!$E$5:$E$14,MATCH(R$4,Assumptions!$A$5:$A$14,0))</f>
        <v>7926189.1640030267</v>
      </c>
      <c r="S82" s="18">
        <f>($G82/Assumptions!$E$8+($H82/Assumptions!$E$14-$G82/Assumptions!$E$8)*(S$4-2019)/6)*INDEX(Assumptions!$E$5:$E$14,MATCH(S$4,Assumptions!$A$5:$A$14,0))</f>
        <v>7941303.0491040833</v>
      </c>
      <c r="T82" s="18">
        <f>($G82/Assumptions!$E$8+($H82/Assumptions!$E$14-$G82/Assumptions!$E$8)*(T$4-2019)/6)*INDEX(Assumptions!$E$5:$E$14,MATCH(T$4,Assumptions!$A$5:$A$14,0))</f>
        <v>8077193</v>
      </c>
    </row>
    <row r="83" spans="1:20">
      <c r="A83" s="3" t="s">
        <v>172</v>
      </c>
      <c r="B83" s="3" t="s">
        <v>94</v>
      </c>
      <c r="C83" s="14">
        <v>7473006</v>
      </c>
      <c r="D83" s="14">
        <v>14659937</v>
      </c>
      <c r="E83" s="14">
        <v>12609882</v>
      </c>
      <c r="F83" s="14">
        <v>15392639</v>
      </c>
      <c r="G83" s="15">
        <f>C83+E83</f>
        <v>20082888</v>
      </c>
      <c r="H83" s="15">
        <f>D83+F83</f>
        <v>30052576</v>
      </c>
      <c r="I83" s="10">
        <f>IFERROR((D83/C83)^(1/6)-1,0)</f>
        <v>0.11885239409546156</v>
      </c>
      <c r="J83" s="10">
        <f>IFERROR((H83/G83)^(1/6)-1,0)</f>
        <v>6.9488017153115145E-2</v>
      </c>
      <c r="K83" s="15">
        <f>($G83/Assumptions!$E$8+($H83/Assumptions!$E$14-$G83/Assumptions!$E$8)*(K$4-2019)/6)*INDEX(Assumptions!$E$5:$E$14,MATCH(K$4,Assumptions!$A$5:$A$14,0))</f>
        <v>17327305.522281103</v>
      </c>
      <c r="L83" s="15">
        <f>($G83/Assumptions!$E$8+($H83/Assumptions!$E$14-$G83/Assumptions!$E$8)*(L$4-2019)/6)*INDEX(Assumptions!$E$5:$E$14,MATCH(L$4,Assumptions!$A$5:$A$14,0))</f>
        <v>18082539.121761668</v>
      </c>
      <c r="M83" s="15">
        <f>($G83/Assumptions!$E$8+($H83/Assumptions!$E$14-$G83/Assumptions!$E$8)*(M$4-2019)/6)*INDEX(Assumptions!$E$5:$E$14,MATCH(M$4,Assumptions!$A$5:$A$14,0))</f>
        <v>18919699.129900802</v>
      </c>
      <c r="N83" s="15">
        <f>($G83/Assumptions!$E$8+($H83/Assumptions!$E$14-$G83/Assumptions!$E$8)*(N$4-2019)/6)*INDEX(Assumptions!$E$5:$E$14,MATCH(N$4,Assumptions!$A$5:$A$14,0))</f>
        <v>20082888</v>
      </c>
      <c r="O83" s="15">
        <f>($G83/Assumptions!$E$8+($H83/Assumptions!$E$14-$G83/Assumptions!$E$8)*(O$4-2019)/6)*INDEX(Assumptions!$E$5:$E$14,MATCH(O$4,Assumptions!$A$5:$A$14,0))</f>
        <v>21544861.332567453</v>
      </c>
      <c r="P83" s="15">
        <f>($G83/Assumptions!$E$8+($H83/Assumptions!$E$14-$G83/Assumptions!$E$8)*(P$4-2019)/6)*INDEX(Assumptions!$E$5:$E$14,MATCH(P$4,Assumptions!$A$5:$A$14,0))</f>
        <v>23890549.364666827</v>
      </c>
      <c r="Q83" s="15">
        <f>($G83/Assumptions!$E$8+($H83/Assumptions!$E$14-$G83/Assumptions!$E$8)*(Q$4-2019)/6)*INDEX(Assumptions!$E$5:$E$14,MATCH(Q$4,Assumptions!$A$5:$A$14,0))</f>
        <v>27424650.521380842</v>
      </c>
      <c r="R83" s="15">
        <f>($G83/Assumptions!$E$8+($H83/Assumptions!$E$14-$G83/Assumptions!$E$8)*(R$4-2019)/6)*INDEX(Assumptions!$E$5:$E$14,MATCH(R$4,Assumptions!$A$5:$A$14,0))</f>
        <v>28952386.559634309</v>
      </c>
      <c r="S83" s="15">
        <f>($G83/Assumptions!$E$8+($H83/Assumptions!$E$14-$G83/Assumptions!$E$8)*(S$4-2019)/6)*INDEX(Assumptions!$E$5:$E$14,MATCH(S$4,Assumptions!$A$5:$A$14,0))</f>
        <v>29279826.08117684</v>
      </c>
      <c r="T83" s="15">
        <f>($G83/Assumptions!$E$8+($H83/Assumptions!$E$14-$G83/Assumptions!$E$8)*(T$4-2019)/6)*INDEX(Assumptions!$E$5:$E$14,MATCH(T$4,Assumptions!$A$5:$A$14,0))</f>
        <v>30052576</v>
      </c>
    </row>
    <row r="84" spans="1:20">
      <c r="A84" s="16" t="s">
        <v>173</v>
      </c>
      <c r="B84" s="16" t="s">
        <v>94</v>
      </c>
      <c r="C84" s="17">
        <v>1997255</v>
      </c>
      <c r="D84" s="17">
        <v>2768208</v>
      </c>
      <c r="E84" s="17">
        <v>3843501</v>
      </c>
      <c r="F84" s="17">
        <v>4122223</v>
      </c>
      <c r="G84" s="18">
        <f>C84+E84</f>
        <v>5840756</v>
      </c>
      <c r="H84" s="18">
        <f>D84+F84</f>
        <v>6890431</v>
      </c>
      <c r="I84" s="19">
        <f>IFERROR((D84/C84)^(1/6)-1,0)</f>
        <v>5.5911533771283439E-2</v>
      </c>
      <c r="J84" s="19">
        <f>IFERROR((H84/G84)^(1/6)-1,0)</f>
        <v>2.7928452795756842E-2</v>
      </c>
      <c r="K84" s="18">
        <f>($G84/Assumptions!$E$8+($H84/Assumptions!$E$14-$G84/Assumptions!$E$8)*(K$4-2019)/6)*INDEX(Assumptions!$E$5:$E$14,MATCH(K$4,Assumptions!$A$5:$A$14,0))</f>
        <v>5677732.6436277255</v>
      </c>
      <c r="L84" s="18">
        <f>($G84/Assumptions!$E$8+($H84/Assumptions!$E$14-$G84/Assumptions!$E$8)*(L$4-2019)/6)*INDEX(Assumptions!$E$5:$E$14,MATCH(L$4,Assumptions!$A$5:$A$14,0))</f>
        <v>5693613.9301800979</v>
      </c>
      <c r="M84" s="18">
        <f>($G84/Assumptions!$E$8+($H84/Assumptions!$E$14-$G84/Assumptions!$E$8)*(M$4-2019)/6)*INDEX(Assumptions!$E$5:$E$14,MATCH(M$4,Assumptions!$A$5:$A$14,0))</f>
        <v>5725065.1634617131</v>
      </c>
      <c r="N84" s="18">
        <f>($G84/Assumptions!$E$8+($H84/Assumptions!$E$14-$G84/Assumptions!$E$8)*(N$4-2019)/6)*INDEX(Assumptions!$E$5:$E$14,MATCH(N$4,Assumptions!$A$5:$A$14,0))</f>
        <v>5840756</v>
      </c>
      <c r="O84" s="18">
        <f>($G84/Assumptions!$E$8+($H84/Assumptions!$E$14-$G84/Assumptions!$E$8)*(O$4-2019)/6)*INDEX(Assumptions!$E$5:$E$14,MATCH(O$4,Assumptions!$A$5:$A$14,0))</f>
        <v>6022665.332394137</v>
      </c>
      <c r="P84" s="18">
        <f>($G84/Assumptions!$E$8+($H84/Assumptions!$E$14-$G84/Assumptions!$E$8)*(P$4-2019)/6)*INDEX(Assumptions!$E$5:$E$14,MATCH(P$4,Assumptions!$A$5:$A$14,0))</f>
        <v>6419263.6658771075</v>
      </c>
      <c r="Q84" s="18">
        <f>($G84/Assumptions!$E$8+($H84/Assumptions!$E$14-$G84/Assumptions!$E$8)*(Q$4-2019)/6)*INDEX(Assumptions!$E$5:$E$14,MATCH(Q$4,Assumptions!$A$5:$A$14,0))</f>
        <v>7082925.6774670128</v>
      </c>
      <c r="R84" s="18">
        <f>($G84/Assumptions!$E$8+($H84/Assumptions!$E$14-$G84/Assumptions!$E$8)*(R$4-2019)/6)*INDEX(Assumptions!$E$5:$E$14,MATCH(R$4,Assumptions!$A$5:$A$14,0))</f>
        <v>7187095.8798570456</v>
      </c>
      <c r="S84" s="18">
        <f>($G84/Assumptions!$E$8+($H84/Assumptions!$E$14-$G84/Assumptions!$E$8)*(S$4-2019)/6)*INDEX(Assumptions!$E$5:$E$14,MATCH(S$4,Assumptions!$A$5:$A$14,0))</f>
        <v>6985644.6386816511</v>
      </c>
      <c r="T84" s="18">
        <f>($G84/Assumptions!$E$8+($H84/Assumptions!$E$14-$G84/Assumptions!$E$8)*(T$4-2019)/6)*INDEX(Assumptions!$E$5:$E$14,MATCH(T$4,Assumptions!$A$5:$A$14,0))</f>
        <v>6890431</v>
      </c>
    </row>
    <row r="85" spans="1:20">
      <c r="A85" s="3" t="s">
        <v>174</v>
      </c>
      <c r="B85" s="3" t="s">
        <v>94</v>
      </c>
      <c r="C85" s="14">
        <v>1725296</v>
      </c>
      <c r="D85" s="14">
        <v>2330887</v>
      </c>
      <c r="E85" s="14">
        <v>3097808</v>
      </c>
      <c r="F85" s="14">
        <v>3418242</v>
      </c>
      <c r="G85" s="15">
        <f>C85+E85</f>
        <v>4823104</v>
      </c>
      <c r="H85" s="15">
        <f>D85+F85</f>
        <v>5749129</v>
      </c>
      <c r="I85" s="10">
        <f>IFERROR((D85/C85)^(1/6)-1,0)</f>
        <v>5.1420081133615403E-2</v>
      </c>
      <c r="J85" s="10">
        <f>IFERROR((H85/G85)^(1/6)-1,0)</f>
        <v>2.9704406232046621E-2</v>
      </c>
      <c r="K85" s="15">
        <f>($G85/Assumptions!$E$8+($H85/Assumptions!$E$14-$G85/Assumptions!$E$8)*(K$4-2019)/6)*INDEX(Assumptions!$E$5:$E$14,MATCH(K$4,Assumptions!$A$5:$A$14,0))</f>
        <v>4668041.2873385921</v>
      </c>
      <c r="L85" s="15">
        <f>($G85/Assumptions!$E$8+($H85/Assumptions!$E$14-$G85/Assumptions!$E$8)*(L$4-2019)/6)*INDEX(Assumptions!$E$5:$E$14,MATCH(L$4,Assumptions!$A$5:$A$14,0))</f>
        <v>4687680.7811422814</v>
      </c>
      <c r="M85" s="15">
        <f>($G85/Assumptions!$E$8+($H85/Assumptions!$E$14-$G85/Assumptions!$E$8)*(M$4-2019)/6)*INDEX(Assumptions!$E$5:$E$14,MATCH(M$4,Assumptions!$A$5:$A$14,0))</f>
        <v>4720441.8386271773</v>
      </c>
      <c r="N85" s="15">
        <f>($G85/Assumptions!$E$8+($H85/Assumptions!$E$14-$G85/Assumptions!$E$8)*(N$4-2019)/6)*INDEX(Assumptions!$E$5:$E$14,MATCH(N$4,Assumptions!$A$5:$A$14,0))</f>
        <v>4823104</v>
      </c>
      <c r="O85" s="15">
        <f>($G85/Assumptions!$E$8+($H85/Assumptions!$E$14-$G85/Assumptions!$E$8)*(O$4-2019)/6)*INDEX(Assumptions!$E$5:$E$14,MATCH(O$4,Assumptions!$A$5:$A$14,0))</f>
        <v>4981109.385869503</v>
      </c>
      <c r="P85" s="15">
        <f>($G85/Assumptions!$E$8+($H85/Assumptions!$E$14-$G85/Assumptions!$E$8)*(P$4-2019)/6)*INDEX(Assumptions!$E$5:$E$14,MATCH(P$4,Assumptions!$A$5:$A$14,0))</f>
        <v>5317753.2357773473</v>
      </c>
      <c r="Q85" s="15">
        <f>($G85/Assumptions!$E$8+($H85/Assumptions!$E$14-$G85/Assumptions!$E$8)*(Q$4-2019)/6)*INDEX(Assumptions!$E$5:$E$14,MATCH(Q$4,Assumptions!$A$5:$A$14,0))</f>
        <v>5877445.4096881449</v>
      </c>
      <c r="R85" s="15">
        <f>($G85/Assumptions!$E$8+($H85/Assumptions!$E$14-$G85/Assumptions!$E$8)*(R$4-2019)/6)*INDEX(Assumptions!$E$5:$E$14,MATCH(R$4,Assumptions!$A$5:$A$14,0))</f>
        <v>5974358.3285506805</v>
      </c>
      <c r="S85" s="15">
        <f>($G85/Assumptions!$E$8+($H85/Assumptions!$E$14-$G85/Assumptions!$E$8)*(S$4-2019)/6)*INDEX(Assumptions!$E$5:$E$14,MATCH(S$4,Assumptions!$A$5:$A$14,0))</f>
        <v>5817507.2650627801</v>
      </c>
      <c r="T85" s="15">
        <f>($G85/Assumptions!$E$8+($H85/Assumptions!$E$14-$G85/Assumptions!$E$8)*(T$4-2019)/6)*INDEX(Assumptions!$E$5:$E$14,MATCH(T$4,Assumptions!$A$5:$A$14,0))</f>
        <v>5749129</v>
      </c>
    </row>
    <row r="86" spans="1:20">
      <c r="A86" s="16" t="s">
        <v>175</v>
      </c>
      <c r="B86" s="16" t="s">
        <v>94</v>
      </c>
      <c r="C86" s="17">
        <v>4679170</v>
      </c>
      <c r="D86" s="17">
        <v>7242740</v>
      </c>
      <c r="E86" s="17">
        <v>6297598</v>
      </c>
      <c r="F86" s="17">
        <v>7802300</v>
      </c>
      <c r="G86" s="18">
        <f>C86+E86</f>
        <v>10976768</v>
      </c>
      <c r="H86" s="18">
        <f>D86+F86</f>
        <v>15045040</v>
      </c>
      <c r="I86" s="19">
        <f>IFERROR((D86/C86)^(1/6)-1,0)</f>
        <v>7.5529545414939392E-2</v>
      </c>
      <c r="J86" s="19">
        <f>IFERROR((H86/G86)^(1/6)-1,0)</f>
        <v>5.3949519645762889E-2</v>
      </c>
      <c r="K86" s="18">
        <f>($G86/Assumptions!$E$8+($H86/Assumptions!$E$14-$G86/Assumptions!$E$8)*(K$4-2019)/6)*INDEX(Assumptions!$E$5:$E$14,MATCH(K$4,Assumptions!$A$5:$A$14,0))</f>
        <v>9947195.1801371016</v>
      </c>
      <c r="L86" s="18">
        <f>($G86/Assumptions!$E$8+($H86/Assumptions!$E$14-$G86/Assumptions!$E$8)*(L$4-2019)/6)*INDEX(Assumptions!$E$5:$E$14,MATCH(L$4,Assumptions!$A$5:$A$14,0))</f>
        <v>10207875.904686462</v>
      </c>
      <c r="M86" s="18">
        <f>($G86/Assumptions!$E$8+($H86/Assumptions!$E$14-$G86/Assumptions!$E$8)*(M$4-2019)/6)*INDEX(Assumptions!$E$5:$E$14,MATCH(M$4,Assumptions!$A$5:$A$14,0))</f>
        <v>10507171.661472145</v>
      </c>
      <c r="N86" s="18">
        <f>($G86/Assumptions!$E$8+($H86/Assumptions!$E$14-$G86/Assumptions!$E$8)*(N$4-2019)/6)*INDEX(Assumptions!$E$5:$E$14,MATCH(N$4,Assumptions!$A$5:$A$14,0))</f>
        <v>10976768</v>
      </c>
      <c r="O86" s="18">
        <f>($G86/Assumptions!$E$8+($H86/Assumptions!$E$14-$G86/Assumptions!$E$8)*(O$4-2019)/6)*INDEX(Assumptions!$E$5:$E$14,MATCH(O$4,Assumptions!$A$5:$A$14,0))</f>
        <v>11594236.089256674</v>
      </c>
      <c r="P86" s="18">
        <f>($G86/Assumptions!$E$8+($H86/Assumptions!$E$14-$G86/Assumptions!$E$8)*(P$4-2019)/6)*INDEX(Assumptions!$E$5:$E$14,MATCH(P$4,Assumptions!$A$5:$A$14,0))</f>
        <v>12663124.325303908</v>
      </c>
      <c r="Q86" s="18">
        <f>($G86/Assumptions!$E$8+($H86/Assumptions!$E$14-$G86/Assumptions!$E$8)*(Q$4-2019)/6)*INDEX(Assumptions!$E$5:$E$14,MATCH(Q$4,Assumptions!$A$5:$A$14,0))</f>
        <v>14322918.577857165</v>
      </c>
      <c r="R86" s="18">
        <f>($G86/Assumptions!$E$8+($H86/Assumptions!$E$14-$G86/Assumptions!$E$8)*(R$4-2019)/6)*INDEX(Assumptions!$E$5:$E$14,MATCH(R$4,Assumptions!$A$5:$A$14,0))</f>
        <v>14904021.502379512</v>
      </c>
      <c r="S86" s="18">
        <f>($G86/Assumptions!$E$8+($H86/Assumptions!$E$14-$G86/Assumptions!$E$8)*(S$4-2019)/6)*INDEX(Assumptions!$E$5:$E$14,MATCH(S$4,Assumptions!$A$5:$A$14,0))</f>
        <v>14861520.026896566</v>
      </c>
      <c r="T86" s="18">
        <f>($G86/Assumptions!$E$8+($H86/Assumptions!$E$14-$G86/Assumptions!$E$8)*(T$4-2019)/6)*INDEX(Assumptions!$E$5:$E$14,MATCH(T$4,Assumptions!$A$5:$A$14,0))</f>
        <v>15045040</v>
      </c>
    </row>
    <row r="87" spans="1:20">
      <c r="A87" s="3" t="s">
        <v>176</v>
      </c>
      <c r="B87" s="3" t="s">
        <v>94</v>
      </c>
      <c r="C87" s="14">
        <v>2512345</v>
      </c>
      <c r="D87" s="14">
        <v>3673203</v>
      </c>
      <c r="E87" s="14">
        <v>4431734</v>
      </c>
      <c r="F87" s="14">
        <v>4787841</v>
      </c>
      <c r="G87" s="15">
        <f>C87+E87</f>
        <v>6944079</v>
      </c>
      <c r="H87" s="15">
        <f>D87+F87</f>
        <v>8461044</v>
      </c>
      <c r="I87" s="10">
        <f>IFERROR((D87/C87)^(1/6)-1,0)</f>
        <v>6.5354820990988882E-2</v>
      </c>
      <c r="J87" s="10">
        <f>IFERROR((H87/G87)^(1/6)-1,0)</f>
        <v>3.3478747221209471E-2</v>
      </c>
      <c r="K87" s="15">
        <f>($G87/Assumptions!$E$8+($H87/Assumptions!$E$14-$G87/Assumptions!$E$8)*(K$4-2019)/6)*INDEX(Assumptions!$E$5:$E$14,MATCH(K$4,Assumptions!$A$5:$A$14,0))</f>
        <v>6657424.853917365</v>
      </c>
      <c r="L87" s="15">
        <f>($G87/Assumptions!$E$8+($H87/Assumptions!$E$14-$G87/Assumptions!$E$8)*(L$4-2019)/6)*INDEX(Assumptions!$E$5:$E$14,MATCH(L$4,Assumptions!$A$5:$A$14,0))</f>
        <v>6705937.9635599954</v>
      </c>
      <c r="M87" s="15">
        <f>($G87/Assumptions!$E$8+($H87/Assumptions!$E$14-$G87/Assumptions!$E$8)*(M$4-2019)/6)*INDEX(Assumptions!$E$5:$E$14,MATCH(M$4,Assumptions!$A$5:$A$14,0))</f>
        <v>6774162.9267739803</v>
      </c>
      <c r="N87" s="15">
        <f>($G87/Assumptions!$E$8+($H87/Assumptions!$E$14-$G87/Assumptions!$E$8)*(N$4-2019)/6)*INDEX(Assumptions!$E$5:$E$14,MATCH(N$4,Assumptions!$A$5:$A$14,0))</f>
        <v>6944079</v>
      </c>
      <c r="O87" s="15">
        <f>($G87/Assumptions!$E$8+($H87/Assumptions!$E$14-$G87/Assumptions!$E$8)*(O$4-2019)/6)*INDEX(Assumptions!$E$5:$E$14,MATCH(O$4,Assumptions!$A$5:$A$14,0))</f>
        <v>7195729.2767752679</v>
      </c>
      <c r="P87" s="15">
        <f>($G87/Assumptions!$E$8+($H87/Assumptions!$E$14-$G87/Assumptions!$E$8)*(P$4-2019)/6)*INDEX(Assumptions!$E$5:$E$14,MATCH(P$4,Assumptions!$A$5:$A$14,0))</f>
        <v>7708778.2705882853</v>
      </c>
      <c r="Q87" s="15">
        <f>($G87/Assumptions!$E$8+($H87/Assumptions!$E$14-$G87/Assumptions!$E$8)*(Q$4-2019)/6)*INDEX(Assumptions!$E$5:$E$14,MATCH(Q$4,Assumptions!$A$5:$A$14,0))</f>
        <v>8550764.5687058847</v>
      </c>
      <c r="R87" s="15">
        <f>($G87/Assumptions!$E$8+($H87/Assumptions!$E$14-$G87/Assumptions!$E$8)*(R$4-2019)/6)*INDEX(Assumptions!$E$5:$E$14,MATCH(R$4,Assumptions!$A$5:$A$14,0))</f>
        <v>8724077.0004374888</v>
      </c>
      <c r="S87" s="15">
        <f>($G87/Assumptions!$E$8+($H87/Assumptions!$E$14-$G87/Assumptions!$E$8)*(S$4-2019)/6)*INDEX(Assumptions!$E$5:$E$14,MATCH(S$4,Assumptions!$A$5:$A$14,0))</f>
        <v>8527715.31313706</v>
      </c>
      <c r="T87" s="15">
        <f>($G87/Assumptions!$E$8+($H87/Assumptions!$E$14-$G87/Assumptions!$E$8)*(T$4-2019)/6)*INDEX(Assumptions!$E$5:$E$14,MATCH(T$4,Assumptions!$A$5:$A$14,0))</f>
        <v>8461044</v>
      </c>
    </row>
    <row r="88" spans="1:20">
      <c r="A88" s="16" t="s">
        <v>177</v>
      </c>
      <c r="B88" s="16" t="s">
        <v>94</v>
      </c>
      <c r="C88" s="17">
        <v>705745</v>
      </c>
      <c r="D88" s="17">
        <v>1227031</v>
      </c>
      <c r="E88" s="17">
        <v>2549552</v>
      </c>
      <c r="F88" s="17">
        <v>2990482</v>
      </c>
      <c r="G88" s="18">
        <f>C88+E88</f>
        <v>3255297</v>
      </c>
      <c r="H88" s="18">
        <f>D88+F88</f>
        <v>4217513</v>
      </c>
      <c r="I88" s="19">
        <f>IFERROR((D88/C88)^(1/6)-1,0)</f>
        <v>9.6565608036504491E-2</v>
      </c>
      <c r="J88" s="19">
        <f>IFERROR((H88/G88)^(1/6)-1,0)</f>
        <v>4.4105304077457719E-2</v>
      </c>
      <c r="K88" s="18">
        <f>($G88/Assumptions!$E$8+($H88/Assumptions!$E$14-$G88/Assumptions!$E$8)*(K$4-2019)/6)*INDEX(Assumptions!$E$5:$E$14,MATCH(K$4,Assumptions!$A$5:$A$14,0))</f>
        <v>3034267.1854693154</v>
      </c>
      <c r="L88" s="18">
        <f>($G88/Assumptions!$E$8+($H88/Assumptions!$E$14-$G88/Assumptions!$E$8)*(L$4-2019)/6)*INDEX(Assumptions!$E$5:$E$14,MATCH(L$4,Assumptions!$A$5:$A$14,0))</f>
        <v>3084666.9970797859</v>
      </c>
      <c r="M88" s="18">
        <f>($G88/Assumptions!$E$8+($H88/Assumptions!$E$14-$G88/Assumptions!$E$8)*(M$4-2019)/6)*INDEX(Assumptions!$E$5:$E$14,MATCH(M$4,Assumptions!$A$5:$A$14,0))</f>
        <v>3145428.2062420552</v>
      </c>
      <c r="N88" s="18">
        <f>($G88/Assumptions!$E$8+($H88/Assumptions!$E$14-$G88/Assumptions!$E$8)*(N$4-2019)/6)*INDEX(Assumptions!$E$5:$E$14,MATCH(N$4,Assumptions!$A$5:$A$14,0))</f>
        <v>3255297</v>
      </c>
      <c r="O88" s="18">
        <f>($G88/Assumptions!$E$8+($H88/Assumptions!$E$14-$G88/Assumptions!$E$8)*(O$4-2019)/6)*INDEX(Assumptions!$E$5:$E$14,MATCH(O$4,Assumptions!$A$5:$A$14,0))</f>
        <v>3406288.3931994359</v>
      </c>
      <c r="P88" s="18">
        <f>($G88/Assumptions!$E$8+($H88/Assumptions!$E$14-$G88/Assumptions!$E$8)*(P$4-2019)/6)*INDEX(Assumptions!$E$5:$E$14,MATCH(P$4,Assumptions!$A$5:$A$14,0))</f>
        <v>3685564.937362385</v>
      </c>
      <c r="Q88" s="18">
        <f>($G88/Assumptions!$E$8+($H88/Assumptions!$E$14-$G88/Assumptions!$E$8)*(Q$4-2019)/6)*INDEX(Assumptions!$E$5:$E$14,MATCH(Q$4,Assumptions!$A$5:$A$14,0))</f>
        <v>4129707.011483382</v>
      </c>
      <c r="R88" s="18">
        <f>($G88/Assumptions!$E$8+($H88/Assumptions!$E$14-$G88/Assumptions!$E$8)*(R$4-2019)/6)*INDEX(Assumptions!$E$5:$E$14,MATCH(R$4,Assumptions!$A$5:$A$14,0))</f>
        <v>4257122.3055327581</v>
      </c>
      <c r="S88" s="18">
        <f>($G88/Assumptions!$E$8+($H88/Assumptions!$E$14-$G88/Assumptions!$E$8)*(S$4-2019)/6)*INDEX(Assumptions!$E$5:$E$14,MATCH(S$4,Assumptions!$A$5:$A$14,0))</f>
        <v>4205339.5887702117</v>
      </c>
      <c r="T88" s="18">
        <f>($G88/Assumptions!$E$8+($H88/Assumptions!$E$14-$G88/Assumptions!$E$8)*(T$4-2019)/6)*INDEX(Assumptions!$E$5:$E$14,MATCH(T$4,Assumptions!$A$5:$A$14,0))</f>
        <v>4217513</v>
      </c>
    </row>
    <row r="89" spans="1:20">
      <c r="A89" s="3" t="s">
        <v>178</v>
      </c>
      <c r="B89" s="3" t="s">
        <v>94</v>
      </c>
      <c r="C89" s="14">
        <v>18800534</v>
      </c>
      <c r="D89" s="14">
        <v>30868150</v>
      </c>
      <c r="E89" s="14">
        <v>23435486</v>
      </c>
      <c r="F89" s="14">
        <v>30505220</v>
      </c>
      <c r="G89" s="15">
        <f>C89+E89</f>
        <v>42236020</v>
      </c>
      <c r="H89" s="15">
        <f>D89+F89</f>
        <v>61373370</v>
      </c>
      <c r="I89" s="10">
        <f>IFERROR((D89/C89)^(1/6)-1,0)</f>
        <v>8.6150657695201582E-2</v>
      </c>
      <c r="J89" s="10">
        <f>IFERROR((H89/G89)^(1/6)-1,0)</f>
        <v>6.4264307498310247E-2</v>
      </c>
      <c r="K89" s="15">
        <f>($G89/Assumptions!$E$8+($H89/Assumptions!$E$14-$G89/Assumptions!$E$8)*(K$4-2019)/6)*INDEX(Assumptions!$E$5:$E$14,MATCH(K$4,Assumptions!$A$5:$A$14,0))</f>
        <v>37072254.63938915</v>
      </c>
      <c r="L89" s="15">
        <f>($G89/Assumptions!$E$8+($H89/Assumptions!$E$14-$G89/Assumptions!$E$8)*(L$4-2019)/6)*INDEX(Assumptions!$E$5:$E$14,MATCH(L$4,Assumptions!$A$5:$A$14,0))</f>
        <v>38459022.11125274</v>
      </c>
      <c r="M89" s="15">
        <f>($G89/Assumptions!$E$8+($H89/Assumptions!$E$14-$G89/Assumptions!$E$8)*(M$4-2019)/6)*INDEX(Assumptions!$E$5:$E$14,MATCH(M$4,Assumptions!$A$5:$A$14,0))</f>
        <v>40009920.511186831</v>
      </c>
      <c r="N89" s="15">
        <f>($G89/Assumptions!$E$8+($H89/Assumptions!$E$14-$G89/Assumptions!$E$8)*(N$4-2019)/6)*INDEX(Assumptions!$E$5:$E$14,MATCH(N$4,Assumptions!$A$5:$A$14,0))</f>
        <v>42236020</v>
      </c>
      <c r="O89" s="15">
        <f>($G89/Assumptions!$E$8+($H89/Assumptions!$E$14-$G89/Assumptions!$E$8)*(O$4-2019)/6)*INDEX(Assumptions!$E$5:$E$14,MATCH(O$4,Assumptions!$A$5:$A$14,0))</f>
        <v>45070035.364706382</v>
      </c>
      <c r="P89" s="15">
        <f>($G89/Assumptions!$E$8+($H89/Assumptions!$E$14-$G89/Assumptions!$E$8)*(P$4-2019)/6)*INDEX(Assumptions!$E$5:$E$14,MATCH(P$4,Assumptions!$A$5:$A$14,0))</f>
        <v>49720713.400541387</v>
      </c>
      <c r="Q89" s="15">
        <f>($G89/Assumptions!$E$8+($H89/Assumptions!$E$14-$G89/Assumptions!$E$8)*(Q$4-2019)/6)*INDEX(Assumptions!$E$5:$E$14,MATCH(Q$4,Assumptions!$A$5:$A$14,0))</f>
        <v>56793012.728646494</v>
      </c>
      <c r="R89" s="15">
        <f>($G89/Assumptions!$E$8+($H89/Assumptions!$E$14-$G89/Assumptions!$E$8)*(R$4-2019)/6)*INDEX(Assumptions!$E$5:$E$14,MATCH(R$4,Assumptions!$A$5:$A$14,0))</f>
        <v>59669519.220711112</v>
      </c>
      <c r="S89" s="15">
        <f>($G89/Assumptions!$E$8+($H89/Assumptions!$E$14-$G89/Assumptions!$E$8)*(S$4-2019)/6)*INDEX(Assumptions!$E$5:$E$14,MATCH(S$4,Assumptions!$A$5:$A$14,0))</f>
        <v>60064692.034564637</v>
      </c>
      <c r="T89" s="15">
        <f>($G89/Assumptions!$E$8+($H89/Assumptions!$E$14-$G89/Assumptions!$E$8)*(T$4-2019)/6)*INDEX(Assumptions!$E$5:$E$14,MATCH(T$4,Assumptions!$A$5:$A$14,0))</f>
        <v>61373370</v>
      </c>
    </row>
    <row r="90" spans="1:20">
      <c r="A90" s="16" t="s">
        <v>179</v>
      </c>
      <c r="B90" s="16" t="s">
        <v>94</v>
      </c>
      <c r="C90" s="17">
        <v>14794109</v>
      </c>
      <c r="D90" s="17">
        <v>23975376</v>
      </c>
      <c r="E90" s="17">
        <v>27174558</v>
      </c>
      <c r="F90" s="17">
        <v>37355132</v>
      </c>
      <c r="G90" s="18">
        <f>C90+E90</f>
        <v>41968667</v>
      </c>
      <c r="H90" s="18">
        <f>D90+F90</f>
        <v>61330508</v>
      </c>
      <c r="I90" s="19">
        <f>IFERROR((D90/C90)^(1/6)-1,0)</f>
        <v>8.3792402184017956E-2</v>
      </c>
      <c r="J90" s="19">
        <f>IFERROR((H90/G90)^(1/6)-1,0)</f>
        <v>6.5267222784409773E-2</v>
      </c>
      <c r="K90" s="18">
        <f>($G90/Assumptions!$E$8+($H90/Assumptions!$E$14-$G90/Assumptions!$E$8)*(K$4-2019)/6)*INDEX(Assumptions!$E$5:$E$14,MATCH(K$4,Assumptions!$A$5:$A$14,0))</f>
        <v>36718309.045610383</v>
      </c>
      <c r="L90" s="18">
        <f>($G90/Assumptions!$E$8+($H90/Assumptions!$E$14-$G90/Assumptions!$E$8)*(L$4-2019)/6)*INDEX(Assumptions!$E$5:$E$14,MATCH(L$4,Assumptions!$A$5:$A$14,0))</f>
        <v>38134370.565595403</v>
      </c>
      <c r="M90" s="18">
        <f>($G90/Assumptions!$E$8+($H90/Assumptions!$E$14-$G90/Assumptions!$E$8)*(M$4-2019)/6)*INDEX(Assumptions!$E$5:$E$14,MATCH(M$4,Assumptions!$A$5:$A$14,0))</f>
        <v>39715066.821640186</v>
      </c>
      <c r="N90" s="18">
        <f>($G90/Assumptions!$E$8+($H90/Assumptions!$E$14-$G90/Assumptions!$E$8)*(N$4-2019)/6)*INDEX(Assumptions!$E$5:$E$14,MATCH(N$4,Assumptions!$A$5:$A$14,0))</f>
        <v>41968666.999999993</v>
      </c>
      <c r="O90" s="18">
        <f>($G90/Assumptions!$E$8+($H90/Assumptions!$E$14-$G90/Assumptions!$E$8)*(O$4-2019)/6)*INDEX(Assumptions!$E$5:$E$14,MATCH(O$4,Assumptions!$A$5:$A$14,0))</f>
        <v>44830198.466070019</v>
      </c>
      <c r="P90" s="18">
        <f>($G90/Assumptions!$E$8+($H90/Assumptions!$E$14-$G90/Assumptions!$E$8)*(P$4-2019)/6)*INDEX(Assumptions!$E$5:$E$14,MATCH(P$4,Assumptions!$A$5:$A$14,0))</f>
        <v>49504801.134865977</v>
      </c>
      <c r="Q90" s="18">
        <f>($G90/Assumptions!$E$8+($H90/Assumptions!$E$14-$G90/Assumptions!$E$8)*(Q$4-2019)/6)*INDEX(Assumptions!$E$5:$E$14,MATCH(Q$4,Assumptions!$A$5:$A$14,0))</f>
        <v>56600375.756177686</v>
      </c>
      <c r="R90" s="18">
        <f>($G90/Assumptions!$E$8+($H90/Assumptions!$E$14-$G90/Assumptions!$E$8)*(R$4-2019)/6)*INDEX(Assumptions!$E$5:$E$14,MATCH(R$4,Assumptions!$A$5:$A$14,0))</f>
        <v>59522228.015176594</v>
      </c>
      <c r="S90" s="18">
        <f>($G90/Assumptions!$E$8+($H90/Assumptions!$E$14-$G90/Assumptions!$E$8)*(S$4-2019)/6)*INDEX(Assumptions!$E$5:$E$14,MATCH(S$4,Assumptions!$A$5:$A$14,0))</f>
        <v>59970332.445749886</v>
      </c>
      <c r="T90" s="18">
        <f>($G90/Assumptions!$E$8+($H90/Assumptions!$E$14-$G90/Assumptions!$E$8)*(T$4-2019)/6)*INDEX(Assumptions!$E$5:$E$14,MATCH(T$4,Assumptions!$A$5:$A$14,0))</f>
        <v>61330507.999999993</v>
      </c>
    </row>
    <row r="91" spans="1:20">
      <c r="A91" s="3" t="s">
        <v>180</v>
      </c>
      <c r="B91" s="3" t="s">
        <v>94</v>
      </c>
      <c r="C91" s="14">
        <v>526822</v>
      </c>
      <c r="D91" s="14">
        <v>2016436</v>
      </c>
      <c r="E91" s="14">
        <v>866440</v>
      </c>
      <c r="F91" s="14">
        <v>881415</v>
      </c>
      <c r="G91" s="15">
        <f>C91+E91</f>
        <v>1393262</v>
      </c>
      <c r="H91" s="15">
        <f>D91+F91</f>
        <v>2897851</v>
      </c>
      <c r="I91" s="10">
        <f>IFERROR((D91/C91)^(1/6)-1,0)</f>
        <v>0.25070078744862889</v>
      </c>
      <c r="J91" s="10">
        <f>IFERROR((H91/G91)^(1/6)-1,0)</f>
        <v>0.12981467091883014</v>
      </c>
      <c r="K91" s="15">
        <f>($G91/Assumptions!$E$8+($H91/Assumptions!$E$14-$G91/Assumptions!$E$8)*(K$4-2019)/6)*INDEX(Assumptions!$E$5:$E$14,MATCH(K$4,Assumptions!$A$5:$A$14,0))</f>
        <v>921542.43325825292</v>
      </c>
      <c r="L91" s="15">
        <f>($G91/Assumptions!$E$8+($H91/Assumptions!$E$14-$G91/Assumptions!$E$8)*(L$4-2019)/6)*INDEX(Assumptions!$E$5:$E$14,MATCH(L$4,Assumptions!$A$5:$A$14,0))</f>
        <v>1063484.7306706605</v>
      </c>
      <c r="M91" s="15">
        <f>($G91/Assumptions!$E$8+($H91/Assumptions!$E$14-$G91/Assumptions!$E$8)*(M$4-2019)/6)*INDEX(Assumptions!$E$5:$E$14,MATCH(M$4,Assumptions!$A$5:$A$14,0))</f>
        <v>1214739.3392892331</v>
      </c>
      <c r="N91" s="15">
        <f>($G91/Assumptions!$E$8+($H91/Assumptions!$E$14-$G91/Assumptions!$E$8)*(N$4-2019)/6)*INDEX(Assumptions!$E$5:$E$14,MATCH(N$4,Assumptions!$A$5:$A$14,0))</f>
        <v>1393262</v>
      </c>
      <c r="O91" s="15">
        <f>($G91/Assumptions!$E$8+($H91/Assumptions!$E$14-$G91/Assumptions!$E$8)*(O$4-2019)/6)*INDEX(Assumptions!$E$5:$E$14,MATCH(O$4,Assumptions!$A$5:$A$14,0))</f>
        <v>1601600.1306444728</v>
      </c>
      <c r="P91" s="15">
        <f>($G91/Assumptions!$E$8+($H91/Assumptions!$E$14-$G91/Assumptions!$E$8)*(P$4-2019)/6)*INDEX(Assumptions!$E$5:$E$14,MATCH(P$4,Assumptions!$A$5:$A$14,0))</f>
        <v>1889846.3400529479</v>
      </c>
      <c r="Q91" s="15">
        <f>($G91/Assumptions!$E$8+($H91/Assumptions!$E$14-$G91/Assumptions!$E$8)*(Q$4-2019)/6)*INDEX(Assumptions!$E$5:$E$14,MATCH(Q$4,Assumptions!$A$5:$A$14,0))</f>
        <v>2295066.1141911154</v>
      </c>
      <c r="R91" s="15">
        <f>($G91/Assumptions!$E$8+($H91/Assumptions!$E$14-$G91/Assumptions!$E$8)*(R$4-2019)/6)*INDEX(Assumptions!$E$5:$E$14,MATCH(R$4,Assumptions!$A$5:$A$14,0))</f>
        <v>2550535.3118272573</v>
      </c>
      <c r="S91" s="15">
        <f>($G91/Assumptions!$E$8+($H91/Assumptions!$E$14-$G91/Assumptions!$E$8)*(S$4-2019)/6)*INDEX(Assumptions!$E$5:$E$14,MATCH(S$4,Assumptions!$A$5:$A$14,0))</f>
        <v>2703632.468644076</v>
      </c>
      <c r="T91" s="15">
        <f>($G91/Assumptions!$E$8+($H91/Assumptions!$E$14-$G91/Assumptions!$E$8)*(T$4-2019)/6)*INDEX(Assumptions!$E$5:$E$14,MATCH(T$4,Assumptions!$A$5:$A$14,0))</f>
        <v>2897851</v>
      </c>
    </row>
    <row r="92" spans="1:20">
      <c r="A92" s="16" t="s">
        <v>181</v>
      </c>
      <c r="B92" s="16" t="s">
        <v>94</v>
      </c>
      <c r="C92" s="17">
        <v>1096031</v>
      </c>
      <c r="D92" s="17">
        <v>1588357</v>
      </c>
      <c r="E92" s="17">
        <v>1251524</v>
      </c>
      <c r="F92" s="17">
        <v>1289993</v>
      </c>
      <c r="G92" s="18">
        <f>C92+E92</f>
        <v>2347555</v>
      </c>
      <c r="H92" s="18">
        <f>D92+F92</f>
        <v>2878350</v>
      </c>
      <c r="I92" s="19">
        <f>IFERROR((D92/C92)^(1/6)-1,0)</f>
        <v>6.3785861462899662E-2</v>
      </c>
      <c r="J92" s="19">
        <f>IFERROR((H92/G92)^(1/6)-1,0)</f>
        <v>3.4557509983698553E-2</v>
      </c>
      <c r="K92" s="18">
        <f>($G92/Assumptions!$E$8+($H92/Assumptions!$E$14-$G92/Assumptions!$E$8)*(K$4-2019)/6)*INDEX(Assumptions!$E$5:$E$14,MATCH(K$4,Assumptions!$A$5:$A$14,0))</f>
        <v>2244448.5552412542</v>
      </c>
      <c r="L92" s="18">
        <f>($G92/Assumptions!$E$8+($H92/Assumptions!$E$14-$G92/Assumptions!$E$8)*(L$4-2019)/6)*INDEX(Assumptions!$E$5:$E$14,MATCH(L$4,Assumptions!$A$5:$A$14,0))</f>
        <v>2262827.6525394702</v>
      </c>
      <c r="M92" s="18">
        <f>($G92/Assumptions!$E$8+($H92/Assumptions!$E$14-$G92/Assumptions!$E$8)*(M$4-2019)/6)*INDEX(Assumptions!$E$5:$E$14,MATCH(M$4,Assumptions!$A$5:$A$14,0))</f>
        <v>2287950.8229495757</v>
      </c>
      <c r="N92" s="18">
        <f>($G92/Assumptions!$E$8+($H92/Assumptions!$E$14-$G92/Assumptions!$E$8)*(N$4-2019)/6)*INDEX(Assumptions!$E$5:$E$14,MATCH(N$4,Assumptions!$A$5:$A$14,0))</f>
        <v>2347555</v>
      </c>
      <c r="O92" s="18">
        <f>($G92/Assumptions!$E$8+($H92/Assumptions!$E$14-$G92/Assumptions!$E$8)*(O$4-2019)/6)*INDEX(Assumptions!$E$5:$E$14,MATCH(O$4,Assumptions!$A$5:$A$14,0))</f>
        <v>2434991.4811213426</v>
      </c>
      <c r="P92" s="18">
        <f>($G92/Assumptions!$E$8+($H92/Assumptions!$E$14-$G92/Assumptions!$E$8)*(P$4-2019)/6)*INDEX(Assumptions!$E$5:$E$14,MATCH(P$4,Assumptions!$A$5:$A$14,0))</f>
        <v>2611208.8536780621</v>
      </c>
      <c r="Q92" s="18">
        <f>($G92/Assumptions!$E$8+($H92/Assumptions!$E$14-$G92/Assumptions!$E$8)*(Q$4-2019)/6)*INDEX(Assumptions!$E$5:$E$14,MATCH(Q$4,Assumptions!$A$5:$A$14,0))</f>
        <v>2899391.4888358689</v>
      </c>
      <c r="R92" s="18">
        <f>($G92/Assumptions!$E$8+($H92/Assumptions!$E$14-$G92/Assumptions!$E$8)*(R$4-2019)/6)*INDEX(Assumptions!$E$5:$E$14,MATCH(R$4,Assumptions!$A$5:$A$14,0))</f>
        <v>2961285.1517778835</v>
      </c>
      <c r="S92" s="18">
        <f>($G92/Assumptions!$E$8+($H92/Assumptions!$E$14-$G92/Assumptions!$E$8)*(S$4-2019)/6)*INDEX(Assumptions!$E$5:$E$14,MATCH(S$4,Assumptions!$A$5:$A$14,0))</f>
        <v>2897782.6552937501</v>
      </c>
      <c r="T92" s="18">
        <f>($G92/Assumptions!$E$8+($H92/Assumptions!$E$14-$G92/Assumptions!$E$8)*(T$4-2019)/6)*INDEX(Assumptions!$E$5:$E$14,MATCH(T$4,Assumptions!$A$5:$A$14,0))</f>
        <v>2878350</v>
      </c>
    </row>
    <row r="93" spans="1:20">
      <c r="A93" s="3" t="s">
        <v>182</v>
      </c>
      <c r="B93" s="3" t="s">
        <v>94</v>
      </c>
      <c r="C93" s="14">
        <v>5902657</v>
      </c>
      <c r="D93" s="14">
        <v>8059519</v>
      </c>
      <c r="E93" s="14">
        <v>5982678</v>
      </c>
      <c r="F93" s="14">
        <v>6407765</v>
      </c>
      <c r="G93" s="15">
        <f>C93+E93</f>
        <v>11885335</v>
      </c>
      <c r="H93" s="15">
        <f>D93+F93</f>
        <v>14467284</v>
      </c>
      <c r="I93" s="10">
        <f>IFERROR((D93/C93)^(1/6)-1,0)</f>
        <v>5.3279413739473203E-2</v>
      </c>
      <c r="J93" s="10">
        <f>IFERROR((H93/G93)^(1/6)-1,0)</f>
        <v>3.3306742598098626E-2</v>
      </c>
      <c r="K93" s="15">
        <f>($G93/Assumptions!$E$8+($H93/Assumptions!$E$14-$G93/Assumptions!$E$8)*(K$4-2019)/6)*INDEX(Assumptions!$E$5:$E$14,MATCH(K$4,Assumptions!$A$5:$A$14,0))</f>
        <v>11399692.628697423</v>
      </c>
      <c r="L93" s="15">
        <f>($G93/Assumptions!$E$8+($H93/Assumptions!$E$14-$G93/Assumptions!$E$8)*(L$4-2019)/6)*INDEX(Assumptions!$E$5:$E$14,MATCH(L$4,Assumptions!$A$5:$A$14,0))</f>
        <v>11481134.307069924</v>
      </c>
      <c r="M93" s="15">
        <f>($G93/Assumptions!$E$8+($H93/Assumptions!$E$14-$G93/Assumptions!$E$8)*(M$4-2019)/6)*INDEX(Assumptions!$E$5:$E$14,MATCH(M$4,Assumptions!$A$5:$A$14,0))</f>
        <v>11596249.843428046</v>
      </c>
      <c r="N93" s="15">
        <f>($G93/Assumptions!$E$8+($H93/Assumptions!$E$14-$G93/Assumptions!$E$8)*(N$4-2019)/6)*INDEX(Assumptions!$E$5:$E$14,MATCH(N$4,Assumptions!$A$5:$A$14,0))</f>
        <v>11885335</v>
      </c>
      <c r="O93" s="15">
        <f>($G93/Assumptions!$E$8+($H93/Assumptions!$E$14-$G93/Assumptions!$E$8)*(O$4-2019)/6)*INDEX(Assumptions!$E$5:$E$14,MATCH(O$4,Assumptions!$A$5:$A$14,0))</f>
        <v>12314153.061979648</v>
      </c>
      <c r="P93" s="15">
        <f>($G93/Assumptions!$E$8+($H93/Assumptions!$E$14-$G93/Assumptions!$E$8)*(P$4-2019)/6)*INDEX(Assumptions!$E$5:$E$14,MATCH(P$4,Assumptions!$A$5:$A$14,0))</f>
        <v>13190044.761098217</v>
      </c>
      <c r="Q93" s="15">
        <f>($G93/Assumptions!$E$8+($H93/Assumptions!$E$14-$G93/Assumptions!$E$8)*(Q$4-2019)/6)*INDEX(Assumptions!$E$5:$E$14,MATCH(Q$4,Assumptions!$A$5:$A$14,0))</f>
        <v>14628324.471740589</v>
      </c>
      <c r="R93" s="15">
        <f>($G93/Assumptions!$E$8+($H93/Assumptions!$E$14-$G93/Assumptions!$E$8)*(R$4-2019)/6)*INDEX(Assumptions!$E$5:$E$14,MATCH(R$4,Assumptions!$A$5:$A$14,0))</f>
        <v>14922304.232433408</v>
      </c>
      <c r="S93" s="15">
        <f>($G93/Assumptions!$E$8+($H93/Assumptions!$E$14-$G93/Assumptions!$E$8)*(S$4-2019)/6)*INDEX(Assumptions!$E$5:$E$14,MATCH(S$4,Assumptions!$A$5:$A$14,0))</f>
        <v>14583897.433538809</v>
      </c>
      <c r="T93" s="15">
        <f>($G93/Assumptions!$E$8+($H93/Assumptions!$E$14-$G93/Assumptions!$E$8)*(T$4-2019)/6)*INDEX(Assumptions!$E$5:$E$14,MATCH(T$4,Assumptions!$A$5:$A$14,0))</f>
        <v>14467284.000000002</v>
      </c>
    </row>
    <row r="94" spans="1:20">
      <c r="A94" s="16" t="s">
        <v>183</v>
      </c>
      <c r="B94" s="16" t="s">
        <v>94</v>
      </c>
      <c r="C94" s="17">
        <v>4814765</v>
      </c>
      <c r="D94" s="17">
        <v>7681160</v>
      </c>
      <c r="E94" s="17">
        <v>6091187</v>
      </c>
      <c r="F94" s="17">
        <v>7408109</v>
      </c>
      <c r="G94" s="18">
        <f>C94+E94</f>
        <v>10905952</v>
      </c>
      <c r="H94" s="18">
        <f>D94+F94</f>
        <v>15089269</v>
      </c>
      <c r="I94" s="19">
        <f>IFERROR((D94/C94)^(1/6)-1,0)</f>
        <v>8.0957500822154138E-2</v>
      </c>
      <c r="J94" s="19">
        <f>IFERROR((H94/G94)^(1/6)-1,0)</f>
        <v>5.5603374371495429E-2</v>
      </c>
      <c r="K94" s="18">
        <f>($G94/Assumptions!$E$8+($H94/Assumptions!$E$14-$G94/Assumptions!$E$8)*(K$4-2019)/6)*INDEX(Assumptions!$E$5:$E$14,MATCH(K$4,Assumptions!$A$5:$A$14,0))</f>
        <v>9834260.9079709202</v>
      </c>
      <c r="L94" s="18">
        <f>($G94/Assumptions!$E$8+($H94/Assumptions!$E$14-$G94/Assumptions!$E$8)*(L$4-2019)/6)*INDEX(Assumptions!$E$5:$E$14,MATCH(L$4,Assumptions!$A$5:$A$14,0))</f>
        <v>10108823.548821133</v>
      </c>
      <c r="M94" s="18">
        <f>($G94/Assumptions!$E$8+($H94/Assumptions!$E$14-$G94/Assumptions!$E$8)*(M$4-2019)/6)*INDEX(Assumptions!$E$5:$E$14,MATCH(M$4,Assumptions!$A$5:$A$14,0))</f>
        <v>10422382.766285731</v>
      </c>
      <c r="N94" s="18">
        <f>($G94/Assumptions!$E$8+($H94/Assumptions!$E$14-$G94/Assumptions!$E$8)*(N$4-2019)/6)*INDEX(Assumptions!$E$5:$E$14,MATCH(N$4,Assumptions!$A$5:$A$14,0))</f>
        <v>10905952</v>
      </c>
      <c r="O94" s="18">
        <f>($G94/Assumptions!$E$8+($H94/Assumptions!$E$14-$G94/Assumptions!$E$8)*(O$4-2019)/6)*INDEX(Assumptions!$E$5:$E$14,MATCH(O$4,Assumptions!$A$5:$A$14,0))</f>
        <v>11538018.373195786</v>
      </c>
      <c r="P94" s="18">
        <f>($G94/Assumptions!$E$8+($H94/Assumptions!$E$14-$G94/Assumptions!$E$8)*(P$4-2019)/6)*INDEX(Assumptions!$E$5:$E$14,MATCH(P$4,Assumptions!$A$5:$A$14,0))</f>
        <v>12621825.304114208</v>
      </c>
      <c r="Q94" s="18">
        <f>($G94/Assumptions!$E$8+($H94/Assumptions!$E$14-$G94/Assumptions!$E$8)*(Q$4-2019)/6)*INDEX(Assumptions!$E$5:$E$14,MATCH(Q$4,Assumptions!$A$5:$A$14,0))</f>
        <v>14298726.922246518</v>
      </c>
      <c r="R94" s="18">
        <f>($G94/Assumptions!$E$8+($H94/Assumptions!$E$14-$G94/Assumptions!$E$8)*(R$4-2019)/6)*INDEX(Assumptions!$E$5:$E$14,MATCH(R$4,Assumptions!$A$5:$A$14,0))</f>
        <v>14902061.339202296</v>
      </c>
      <c r="S94" s="18">
        <f>($G94/Assumptions!$E$8+($H94/Assumptions!$E$14-$G94/Assumptions!$E$8)*(S$4-2019)/6)*INDEX(Assumptions!$E$5:$E$14,MATCH(S$4,Assumptions!$A$5:$A$14,0))</f>
        <v>14882494.721405469</v>
      </c>
      <c r="T94" s="18">
        <f>($G94/Assumptions!$E$8+($H94/Assumptions!$E$14-$G94/Assumptions!$E$8)*(T$4-2019)/6)*INDEX(Assumptions!$E$5:$E$14,MATCH(T$4,Assumptions!$A$5:$A$14,0))</f>
        <v>15089268.999999998</v>
      </c>
    </row>
    <row r="95" spans="1:20">
      <c r="A95" s="3" t="s">
        <v>184</v>
      </c>
      <c r="B95" s="3" t="s">
        <v>94</v>
      </c>
      <c r="C95" s="14">
        <v>7517803</v>
      </c>
      <c r="D95" s="14">
        <v>11669786</v>
      </c>
      <c r="E95" s="14">
        <v>7244808</v>
      </c>
      <c r="F95" s="14">
        <v>8327889</v>
      </c>
      <c r="G95" s="15">
        <f>C95+E95</f>
        <v>14762611</v>
      </c>
      <c r="H95" s="15">
        <f>D95+F95</f>
        <v>19997675</v>
      </c>
      <c r="I95" s="10">
        <f>IFERROR((D95/C95)^(1/6)-1,0)</f>
        <v>7.6040601304327105E-2</v>
      </c>
      <c r="J95" s="10">
        <f>IFERROR((H95/G95)^(1/6)-1,0)</f>
        <v>5.1887727847246268E-2</v>
      </c>
      <c r="K95" s="15">
        <f>($G95/Assumptions!$E$8+($H95/Assumptions!$E$14-$G95/Assumptions!$E$8)*(K$4-2019)/6)*INDEX(Assumptions!$E$5:$E$14,MATCH(K$4,Assumptions!$A$5:$A$14,0))</f>
        <v>13459504.625496972</v>
      </c>
      <c r="L95" s="15">
        <f>($G95/Assumptions!$E$8+($H95/Assumptions!$E$14-$G95/Assumptions!$E$8)*(L$4-2019)/6)*INDEX(Assumptions!$E$5:$E$14,MATCH(L$4,Assumptions!$A$5:$A$14,0))</f>
        <v>13784059.623062661</v>
      </c>
      <c r="M95" s="15">
        <f>($G95/Assumptions!$E$8+($H95/Assumptions!$E$14-$G95/Assumptions!$E$8)*(M$4-2019)/6)*INDEX(Assumptions!$E$5:$E$14,MATCH(M$4,Assumptions!$A$5:$A$14,0))</f>
        <v>14159492.901461255</v>
      </c>
      <c r="N95" s="15">
        <f>($G95/Assumptions!$E$8+($H95/Assumptions!$E$14-$G95/Assumptions!$E$8)*(N$4-2019)/6)*INDEX(Assumptions!$E$5:$E$14,MATCH(N$4,Assumptions!$A$5:$A$14,0))</f>
        <v>14762611</v>
      </c>
      <c r="O95" s="15">
        <f>($G95/Assumptions!$E$8+($H95/Assumptions!$E$14-$G95/Assumptions!$E$8)*(O$4-2019)/6)*INDEX(Assumptions!$E$5:$E$14,MATCH(O$4,Assumptions!$A$5:$A$14,0))</f>
        <v>15561959.390407657</v>
      </c>
      <c r="P95" s="15">
        <f>($G95/Assumptions!$E$8+($H95/Assumptions!$E$14-$G95/Assumptions!$E$8)*(P$4-2019)/6)*INDEX(Assumptions!$E$5:$E$14,MATCH(P$4,Assumptions!$A$5:$A$14,0))</f>
        <v>16963013.522571642</v>
      </c>
      <c r="Q95" s="15">
        <f>($G95/Assumptions!$E$8+($H95/Assumptions!$E$14-$G95/Assumptions!$E$8)*(Q$4-2019)/6)*INDEX(Assumptions!$E$5:$E$14,MATCH(Q$4,Assumptions!$A$5:$A$14,0))</f>
        <v>19148737.088835072</v>
      </c>
      <c r="R95" s="15">
        <f>($G95/Assumptions!$E$8+($H95/Assumptions!$E$14-$G95/Assumptions!$E$8)*(R$4-2019)/6)*INDEX(Assumptions!$E$5:$E$14,MATCH(R$4,Assumptions!$A$5:$A$14,0))</f>
        <v>19886802.43652286</v>
      </c>
      <c r="S95" s="15">
        <f>($G95/Assumptions!$E$8+($H95/Assumptions!$E$14-$G95/Assumptions!$E$8)*(S$4-2019)/6)*INDEX(Assumptions!$E$5:$E$14,MATCH(S$4,Assumptions!$A$5:$A$14,0))</f>
        <v>19791737.762045544</v>
      </c>
      <c r="T95" s="15">
        <f>($G95/Assumptions!$E$8+($H95/Assumptions!$E$14-$G95/Assumptions!$E$8)*(T$4-2019)/6)*INDEX(Assumptions!$E$5:$E$14,MATCH(T$4,Assumptions!$A$5:$A$14,0))</f>
        <v>19997675</v>
      </c>
    </row>
    <row r="96" spans="1:20">
      <c r="A96" s="16" t="s">
        <v>185</v>
      </c>
      <c r="B96" s="16" t="s">
        <v>94</v>
      </c>
      <c r="C96" s="17">
        <v>1062303</v>
      </c>
      <c r="D96" s="17">
        <v>2086627</v>
      </c>
      <c r="E96" s="17">
        <v>2265634</v>
      </c>
      <c r="F96" s="17">
        <v>2695079</v>
      </c>
      <c r="G96" s="18">
        <f>C96+E96</f>
        <v>3327937</v>
      </c>
      <c r="H96" s="18">
        <f>D96+F96</f>
        <v>4781706</v>
      </c>
      <c r="I96" s="19">
        <f>IFERROR((D96/C96)^(1/6)-1,0)</f>
        <v>0.11909271631782747</v>
      </c>
      <c r="J96" s="19">
        <f>IFERROR((H96/G96)^(1/6)-1,0)</f>
        <v>6.2269296659293261E-2</v>
      </c>
      <c r="K96" s="18">
        <f>($G96/Assumptions!$E$8+($H96/Assumptions!$E$14-$G96/Assumptions!$E$8)*(K$4-2019)/6)*INDEX(Assumptions!$E$5:$E$14,MATCH(K$4,Assumptions!$A$5:$A$14,0))</f>
        <v>2939746.8374659996</v>
      </c>
      <c r="L96" s="18">
        <f>($G96/Assumptions!$E$8+($H96/Assumptions!$E$14-$G96/Assumptions!$E$8)*(L$4-2019)/6)*INDEX(Assumptions!$E$5:$E$14,MATCH(L$4,Assumptions!$A$5:$A$14,0))</f>
        <v>3043052.3053349145</v>
      </c>
      <c r="M96" s="18">
        <f>($G96/Assumptions!$E$8+($H96/Assumptions!$E$14-$G96/Assumptions!$E$8)*(M$4-2019)/6)*INDEX(Assumptions!$E$5:$E$14,MATCH(M$4,Assumptions!$A$5:$A$14,0))</f>
        <v>3159048.6344565153</v>
      </c>
      <c r="N96" s="18">
        <f>($G96/Assumptions!$E$8+($H96/Assumptions!$E$14-$G96/Assumptions!$E$8)*(N$4-2019)/6)*INDEX(Assumptions!$E$5:$E$14,MATCH(N$4,Assumptions!$A$5:$A$14,0))</f>
        <v>3327937</v>
      </c>
      <c r="O96" s="18">
        <f>($G96/Assumptions!$E$8+($H96/Assumptions!$E$14-$G96/Assumptions!$E$8)*(O$4-2019)/6)*INDEX(Assumptions!$E$5:$E$14,MATCH(O$4,Assumptions!$A$5:$A$14,0))</f>
        <v>3544120.2367893704</v>
      </c>
      <c r="P96" s="18">
        <f>($G96/Assumptions!$E$8+($H96/Assumptions!$E$14-$G96/Assumptions!$E$8)*(P$4-2019)/6)*INDEX(Assumptions!$E$5:$E$14,MATCH(P$4,Assumptions!$A$5:$A$14,0))</f>
        <v>3902206.6317129899</v>
      </c>
      <c r="Q96" s="18">
        <f>($G96/Assumptions!$E$8+($H96/Assumptions!$E$14-$G96/Assumptions!$E$8)*(Q$4-2019)/6)*INDEX(Assumptions!$E$5:$E$14,MATCH(Q$4,Assumptions!$A$5:$A$14,0))</f>
        <v>4448802.5652938196</v>
      </c>
      <c r="R96" s="18">
        <f>($G96/Assumptions!$E$8+($H96/Assumptions!$E$14-$G96/Assumptions!$E$8)*(R$4-2019)/6)*INDEX(Assumptions!$E$5:$E$14,MATCH(R$4,Assumptions!$A$5:$A$14,0))</f>
        <v>4665499.0653043315</v>
      </c>
      <c r="S96" s="18">
        <f>($G96/Assumptions!$E$8+($H96/Assumptions!$E$14-$G96/Assumptions!$E$8)*(S$4-2019)/6)*INDEX(Assumptions!$E$5:$E$14,MATCH(S$4,Assumptions!$A$5:$A$14,0))</f>
        <v>4687953.8024759721</v>
      </c>
      <c r="T96" s="18">
        <f>($G96/Assumptions!$E$8+($H96/Assumptions!$E$14-$G96/Assumptions!$E$8)*(T$4-2019)/6)*INDEX(Assumptions!$E$5:$E$14,MATCH(T$4,Assumptions!$A$5:$A$14,0))</f>
        <v>4781706</v>
      </c>
    </row>
    <row r="97" spans="1:20">
      <c r="A97" s="3" t="s">
        <v>186</v>
      </c>
      <c r="B97" s="3" t="s">
        <v>94</v>
      </c>
      <c r="C97" s="14">
        <v>3291784</v>
      </c>
      <c r="D97" s="14">
        <v>4325422</v>
      </c>
      <c r="E97" s="14">
        <v>5611463</v>
      </c>
      <c r="F97" s="14">
        <v>5827508</v>
      </c>
      <c r="G97" s="15">
        <f>C97+E97</f>
        <v>8903247</v>
      </c>
      <c r="H97" s="15">
        <f>D97+F97</f>
        <v>10152930</v>
      </c>
      <c r="I97" s="10">
        <f>IFERROR((D97/C97)^(1/6)-1,0)</f>
        <v>4.6564965841356942E-2</v>
      </c>
      <c r="J97" s="10">
        <f>IFERROR((H97/G97)^(1/6)-1,0)</f>
        <v>2.2132415734130495E-2</v>
      </c>
      <c r="K97" s="15">
        <f>($G97/Assumptions!$E$8+($H97/Assumptions!$E$14-$G97/Assumptions!$E$8)*(K$4-2019)/6)*INDEX(Assumptions!$E$5:$E$14,MATCH(K$4,Assumptions!$A$5:$A$14,0))</f>
        <v>8775660.1218263935</v>
      </c>
      <c r="L97" s="15">
        <f>($G97/Assumptions!$E$8+($H97/Assumptions!$E$14-$G97/Assumptions!$E$8)*(L$4-2019)/6)*INDEX(Assumptions!$E$5:$E$14,MATCH(L$4,Assumptions!$A$5:$A$14,0))</f>
        <v>8761274.1441752017</v>
      </c>
      <c r="M97" s="15">
        <f>($G97/Assumptions!$E$8+($H97/Assumptions!$E$14-$G97/Assumptions!$E$8)*(M$4-2019)/6)*INDEX(Assumptions!$E$5:$E$14,MATCH(M$4,Assumptions!$A$5:$A$14,0))</f>
        <v>8769058.0152994711</v>
      </c>
      <c r="N97" s="15">
        <f>($G97/Assumptions!$E$8+($H97/Assumptions!$E$14-$G97/Assumptions!$E$8)*(N$4-2019)/6)*INDEX(Assumptions!$E$5:$E$14,MATCH(N$4,Assumptions!$A$5:$A$14,0))</f>
        <v>8903247</v>
      </c>
      <c r="O97" s="15">
        <f>($G97/Assumptions!$E$8+($H97/Assumptions!$E$14-$G97/Assumptions!$E$8)*(O$4-2019)/6)*INDEX(Assumptions!$E$5:$E$14,MATCH(O$4,Assumptions!$A$5:$A$14,0))</f>
        <v>9134458.4252869021</v>
      </c>
      <c r="P97" s="15">
        <f>($G97/Assumptions!$E$8+($H97/Assumptions!$E$14-$G97/Assumptions!$E$8)*(P$4-2019)/6)*INDEX(Assumptions!$E$5:$E$14,MATCH(P$4,Assumptions!$A$5:$A$14,0))</f>
        <v>9684910.6068140101</v>
      </c>
      <c r="Q97" s="15">
        <f>($G97/Assumptions!$E$8+($H97/Assumptions!$E$14-$G97/Assumptions!$E$8)*(Q$4-2019)/6)*INDEX(Assumptions!$E$5:$E$14,MATCH(Q$4,Assumptions!$A$5:$A$14,0))</f>
        <v>10627575.545820048</v>
      </c>
      <c r="R97" s="15">
        <f>($G97/Assumptions!$E$8+($H97/Assumptions!$E$14-$G97/Assumptions!$E$8)*(R$4-2019)/6)*INDEX(Assumptions!$E$5:$E$14,MATCH(R$4,Assumptions!$A$5:$A$14,0))</f>
        <v>10721939.973403102</v>
      </c>
      <c r="S97" s="15">
        <f>($G97/Assumptions!$E$8+($H97/Assumptions!$E$14-$G97/Assumptions!$E$8)*(S$4-2019)/6)*INDEX(Assumptions!$E$5:$E$14,MATCH(S$4,Assumptions!$A$5:$A$14,0))</f>
        <v>10358668.370004151</v>
      </c>
      <c r="T97" s="15">
        <f>($G97/Assumptions!$E$8+($H97/Assumptions!$E$14-$G97/Assumptions!$E$8)*(T$4-2019)/6)*INDEX(Assumptions!$E$5:$E$14,MATCH(T$4,Assumptions!$A$5:$A$14,0))</f>
        <v>10152930</v>
      </c>
    </row>
    <row r="98" spans="1:20">
      <c r="A98" s="16" t="s">
        <v>187</v>
      </c>
      <c r="B98" s="16" t="s">
        <v>94</v>
      </c>
      <c r="C98" s="17">
        <v>4687790</v>
      </c>
      <c r="D98" s="17">
        <v>6823360</v>
      </c>
      <c r="E98" s="17">
        <v>4017279</v>
      </c>
      <c r="F98" s="17">
        <v>4666035</v>
      </c>
      <c r="G98" s="18">
        <f>C98+E98</f>
        <v>8705069</v>
      </c>
      <c r="H98" s="18">
        <f>D98+F98</f>
        <v>11489395</v>
      </c>
      <c r="I98" s="19">
        <f>IFERROR((D98/C98)^(1/6)-1,0)</f>
        <v>6.4563788702344915E-2</v>
      </c>
      <c r="J98" s="19">
        <f>IFERROR((H98/G98)^(1/6)-1,0)</f>
        <v>4.7339517738413273E-2</v>
      </c>
      <c r="K98" s="18">
        <f>($G98/Assumptions!$E$8+($H98/Assumptions!$E$14-$G98/Assumptions!$E$8)*(K$4-2019)/6)*INDEX(Assumptions!$E$5:$E$14,MATCH(K$4,Assumptions!$A$5:$A$14,0))</f>
        <v>8041107.2575369189</v>
      </c>
      <c r="L98" s="18">
        <f>($G98/Assumptions!$E$8+($H98/Assumptions!$E$14-$G98/Assumptions!$E$8)*(L$4-2019)/6)*INDEX(Assumptions!$E$5:$E$14,MATCH(L$4,Assumptions!$A$5:$A$14,0))</f>
        <v>8199151.470413073</v>
      </c>
      <c r="M98" s="18">
        <f>($G98/Assumptions!$E$8+($H98/Assumptions!$E$14-$G98/Assumptions!$E$8)*(M$4-2019)/6)*INDEX(Assumptions!$E$5:$E$14,MATCH(M$4,Assumptions!$A$5:$A$14,0))</f>
        <v>8385846.2424472375</v>
      </c>
      <c r="N98" s="18">
        <f>($G98/Assumptions!$E$8+($H98/Assumptions!$E$14-$G98/Assumptions!$E$8)*(N$4-2019)/6)*INDEX(Assumptions!$E$5:$E$14,MATCH(N$4,Assumptions!$A$5:$A$14,0))</f>
        <v>8705069</v>
      </c>
      <c r="O98" s="18">
        <f>($G98/Assumptions!$E$8+($H98/Assumptions!$E$14-$G98/Assumptions!$E$8)*(O$4-2019)/6)*INDEX(Assumptions!$E$5:$E$14,MATCH(O$4,Assumptions!$A$5:$A$14,0))</f>
        <v>9136619.9839679766</v>
      </c>
      <c r="P98" s="18">
        <f>($G98/Assumptions!$E$8+($H98/Assumptions!$E$14-$G98/Assumptions!$E$8)*(P$4-2019)/6)*INDEX(Assumptions!$E$5:$E$14,MATCH(P$4,Assumptions!$A$5:$A$14,0))</f>
        <v>9916054.5724233575</v>
      </c>
      <c r="Q98" s="18">
        <f>($G98/Assumptions!$E$8+($H98/Assumptions!$E$14-$G98/Assumptions!$E$8)*(Q$4-2019)/6)*INDEX(Assumptions!$E$5:$E$14,MATCH(Q$4,Assumptions!$A$5:$A$14,0))</f>
        <v>11145331.827835474</v>
      </c>
      <c r="R98" s="18">
        <f>($G98/Assumptions!$E$8+($H98/Assumptions!$E$14-$G98/Assumptions!$E$8)*(R$4-2019)/6)*INDEX(Assumptions!$E$5:$E$14,MATCH(R$4,Assumptions!$A$5:$A$14,0))</f>
        <v>11524898.841930572</v>
      </c>
      <c r="S98" s="18">
        <f>($G98/Assumptions!$E$8+($H98/Assumptions!$E$14-$G98/Assumptions!$E$8)*(S$4-2019)/6)*INDEX(Assumptions!$E$5:$E$14,MATCH(S$4,Assumptions!$A$5:$A$14,0))</f>
        <v>11420304.770570524</v>
      </c>
      <c r="T98" s="18">
        <f>($G98/Assumptions!$E$8+($H98/Assumptions!$E$14-$G98/Assumptions!$E$8)*(T$4-2019)/6)*INDEX(Assumptions!$E$5:$E$14,MATCH(T$4,Assumptions!$A$5:$A$14,0))</f>
        <v>11489395</v>
      </c>
    </row>
    <row r="99" spans="1:20">
      <c r="A99" s="3" t="s">
        <v>188</v>
      </c>
      <c r="B99" s="3" t="s">
        <v>94</v>
      </c>
      <c r="C99" s="14">
        <v>10762951</v>
      </c>
      <c r="D99" s="14">
        <v>14869409</v>
      </c>
      <c r="E99" s="14">
        <v>12160345</v>
      </c>
      <c r="F99" s="14">
        <v>14746204</v>
      </c>
      <c r="G99" s="15">
        <f>C99+E99</f>
        <v>22923296</v>
      </c>
      <c r="H99" s="15">
        <f>D99+F99</f>
        <v>29615613</v>
      </c>
      <c r="I99" s="10">
        <f>IFERROR((D99/C99)^(1/6)-1,0)</f>
        <v>5.534321918794971E-2</v>
      </c>
      <c r="J99" s="10">
        <f>IFERROR((H99/G99)^(1/6)-1,0)</f>
        <v>4.3615716170277041E-2</v>
      </c>
      <c r="K99" s="15">
        <f>($G99/Assumptions!$E$8+($H99/Assumptions!$E$14-$G99/Assumptions!$E$8)*(K$4-2019)/6)*INDEX(Assumptions!$E$5:$E$14,MATCH(K$4,Assumptions!$A$5:$A$14,0))</f>
        <v>21395640.483085621</v>
      </c>
      <c r="L99" s="15">
        <f>($G99/Assumptions!$E$8+($H99/Assumptions!$E$14-$G99/Assumptions!$E$8)*(L$4-2019)/6)*INDEX(Assumptions!$E$5:$E$14,MATCH(L$4,Assumptions!$A$5:$A$14,0))</f>
        <v>21741354.890396688</v>
      </c>
      <c r="M99" s="15">
        <f>($G99/Assumptions!$E$8+($H99/Assumptions!$E$14-$G99/Assumptions!$E$8)*(M$4-2019)/6)*INDEX(Assumptions!$E$5:$E$14,MATCH(M$4,Assumptions!$A$5:$A$14,0))</f>
        <v>22159660.124555413</v>
      </c>
      <c r="N99" s="15">
        <f>($G99/Assumptions!$E$8+($H99/Assumptions!$E$14-$G99/Assumptions!$E$8)*(N$4-2019)/6)*INDEX(Assumptions!$E$5:$E$14,MATCH(N$4,Assumptions!$A$5:$A$14,0))</f>
        <v>22923296</v>
      </c>
      <c r="O99" s="15">
        <f>($G99/Assumptions!$E$8+($H99/Assumptions!$E$14-$G99/Assumptions!$E$8)*(O$4-2019)/6)*INDEX(Assumptions!$E$5:$E$14,MATCH(O$4,Assumptions!$A$5:$A$14,0))</f>
        <v>23975577.921578497</v>
      </c>
      <c r="P99" s="15">
        <f>($G99/Assumptions!$E$8+($H99/Assumptions!$E$14-$G99/Assumptions!$E$8)*(P$4-2019)/6)*INDEX(Assumptions!$E$5:$E$14,MATCH(P$4,Assumptions!$A$5:$A$14,0))</f>
        <v>25929314.434521817</v>
      </c>
      <c r="Q99" s="15">
        <f>($G99/Assumptions!$E$8+($H99/Assumptions!$E$14-$G99/Assumptions!$E$8)*(Q$4-2019)/6)*INDEX(Assumptions!$E$5:$E$14,MATCH(Q$4,Assumptions!$A$5:$A$14,0))</f>
        <v>29040463.784837078</v>
      </c>
      <c r="R99" s="15">
        <f>($G99/Assumptions!$E$8+($H99/Assumptions!$E$14-$G99/Assumptions!$E$8)*(R$4-2019)/6)*INDEX(Assumptions!$E$5:$E$14,MATCH(R$4,Assumptions!$A$5:$A$14,0))</f>
        <v>29922356.23182017</v>
      </c>
      <c r="S99" s="15">
        <f>($G99/Assumptions!$E$8+($H99/Assumptions!$E$14-$G99/Assumptions!$E$8)*(S$4-2019)/6)*INDEX(Assumptions!$E$5:$E$14,MATCH(S$4,Assumptions!$A$5:$A$14,0))</f>
        <v>29544325.059554048</v>
      </c>
      <c r="T99" s="15">
        <f>($G99/Assumptions!$E$8+($H99/Assumptions!$E$14-$G99/Assumptions!$E$8)*(T$4-2019)/6)*INDEX(Assumptions!$E$5:$E$14,MATCH(T$4,Assumptions!$A$5:$A$14,0))</f>
        <v>29615612.999999996</v>
      </c>
    </row>
    <row r="100" spans="1:20">
      <c r="A100" s="16" t="s">
        <v>189</v>
      </c>
      <c r="B100" s="16" t="s">
        <v>190</v>
      </c>
      <c r="C100" s="17">
        <v>28550480</v>
      </c>
      <c r="D100" s="17">
        <v>40767747</v>
      </c>
      <c r="E100" s="17">
        <v>16832757</v>
      </c>
      <c r="F100" s="17">
        <v>20780878</v>
      </c>
      <c r="G100" s="18">
        <f>C100+E100</f>
        <v>45383237</v>
      </c>
      <c r="H100" s="18">
        <f>D100+F100</f>
        <v>61548625</v>
      </c>
      <c r="I100" s="19">
        <f>IFERROR((D100/C100)^(1/6)-1,0)</f>
        <v>6.1167359020056544E-2</v>
      </c>
      <c r="J100" s="19">
        <f>IFERROR((H100/G100)^(1/6)-1,0)</f>
        <v>5.2092232731453247E-2</v>
      </c>
      <c r="K100" s="18">
        <f>($G100/Assumptions!$E$8+($H100/Assumptions!$E$14-$G100/Assumptions!$E$8)*(K$4-2019)/6)*INDEX(Assumptions!$E$5:$E$14,MATCH(K$4,Assumptions!$A$5:$A$14,0))</f>
        <v>41352465.157032758</v>
      </c>
      <c r="L100" s="18">
        <f>($G100/Assumptions!$E$8+($H100/Assumptions!$E$14-$G100/Assumptions!$E$8)*(L$4-2019)/6)*INDEX(Assumptions!$E$5:$E$14,MATCH(L$4,Assumptions!$A$5:$A$14,0))</f>
        <v>42358115.780288018</v>
      </c>
      <c r="M100" s="18">
        <f>($G100/Assumptions!$E$8+($H100/Assumptions!$E$14-$G100/Assumptions!$E$8)*(M$4-2019)/6)*INDEX(Assumptions!$E$5:$E$14,MATCH(M$4,Assumptions!$A$5:$A$14,0))</f>
        <v>43520496.730567157</v>
      </c>
      <c r="N100" s="18">
        <f>($G100/Assumptions!$E$8+($H100/Assumptions!$E$14-$G100/Assumptions!$E$8)*(N$4-2019)/6)*INDEX(Assumptions!$E$5:$E$14,MATCH(N$4,Assumptions!$A$5:$A$14,0))</f>
        <v>45383237</v>
      </c>
      <c r="O100" s="18">
        <f>($G100/Assumptions!$E$8+($H100/Assumptions!$E$14-$G100/Assumptions!$E$8)*(O$4-2019)/6)*INDEX(Assumptions!$E$5:$E$14,MATCH(O$4,Assumptions!$A$5:$A$14,0))</f>
        <v>47850030.68309693</v>
      </c>
      <c r="P100" s="18">
        <f>($G100/Assumptions!$E$8+($H100/Assumptions!$E$14-$G100/Assumptions!$E$8)*(P$4-2019)/6)*INDEX(Assumptions!$E$5:$E$14,MATCH(P$4,Assumptions!$A$5:$A$14,0))</f>
        <v>52168230.480470285</v>
      </c>
      <c r="Q100" s="18">
        <f>($G100/Assumptions!$E$8+($H100/Assumptions!$E$14-$G100/Assumptions!$E$8)*(Q$4-2019)/6)*INDEX(Assumptions!$E$5:$E$14,MATCH(Q$4,Assumptions!$A$5:$A$14,0))</f>
        <v>58901709.267257929</v>
      </c>
      <c r="R100" s="18">
        <f>($G100/Assumptions!$E$8+($H100/Assumptions!$E$14-$G100/Assumptions!$E$8)*(R$4-2019)/6)*INDEX(Assumptions!$E$5:$E$14,MATCH(R$4,Assumptions!$A$5:$A$14,0))</f>
        <v>61183863.558708481</v>
      </c>
      <c r="S100" s="18">
        <f>($G100/Assumptions!$E$8+($H100/Assumptions!$E$14-$G100/Assumptions!$E$8)*(S$4-2019)/6)*INDEX(Assumptions!$E$5:$E$14,MATCH(S$4,Assumptions!$A$5:$A$14,0))</f>
        <v>60903122.717200838</v>
      </c>
      <c r="T100" s="18">
        <f>($G100/Assumptions!$E$8+($H100/Assumptions!$E$14-$G100/Assumptions!$E$8)*(T$4-2019)/6)*INDEX(Assumptions!$E$5:$E$14,MATCH(T$4,Assumptions!$A$5:$A$14,0))</f>
        <v>61548625</v>
      </c>
    </row>
    <row r="101" spans="1:20">
      <c r="A101" s="3" t="s">
        <v>191</v>
      </c>
      <c r="B101" s="3" t="s">
        <v>190</v>
      </c>
      <c r="C101" s="14">
        <v>4429197</v>
      </c>
      <c r="D101" s="14">
        <v>6633958</v>
      </c>
      <c r="E101" s="14">
        <v>2569133</v>
      </c>
      <c r="F101" s="14">
        <v>2805375</v>
      </c>
      <c r="G101" s="15">
        <f>C101+E101</f>
        <v>6998330</v>
      </c>
      <c r="H101" s="15">
        <f>D101+F101</f>
        <v>9439333</v>
      </c>
      <c r="I101" s="10">
        <f>IFERROR((D101/C101)^(1/6)-1,0)</f>
        <v>6.9648993282035887E-2</v>
      </c>
      <c r="J101" s="10">
        <f>IFERROR((H101/G101)^(1/6)-1,0)</f>
        <v>5.113334888985821E-2</v>
      </c>
      <c r="K101" s="15">
        <f>($G101/Assumptions!$E$8+($H101/Assumptions!$E$14-$G101/Assumptions!$E$8)*(K$4-2019)/6)*INDEX(Assumptions!$E$5:$E$14,MATCH(K$4,Assumptions!$A$5:$A$14,0))</f>
        <v>6394634.9333473817</v>
      </c>
      <c r="L101" s="15">
        <f>($G101/Assumptions!$E$8+($H101/Assumptions!$E$14-$G101/Assumptions!$E$8)*(L$4-2019)/6)*INDEX(Assumptions!$E$5:$E$14,MATCH(L$4,Assumptions!$A$5:$A$14,0))</f>
        <v>6544007.3462223364</v>
      </c>
      <c r="M101" s="15">
        <f>($G101/Assumptions!$E$8+($H101/Assumptions!$E$14-$G101/Assumptions!$E$8)*(M$4-2019)/6)*INDEX(Assumptions!$E$5:$E$14,MATCH(M$4,Assumptions!$A$5:$A$14,0))</f>
        <v>6717317.2459928934</v>
      </c>
      <c r="N101" s="15">
        <f>($G101/Assumptions!$E$8+($H101/Assumptions!$E$14-$G101/Assumptions!$E$8)*(N$4-2019)/6)*INDEX(Assumptions!$E$5:$E$14,MATCH(N$4,Assumptions!$A$5:$A$14,0))</f>
        <v>6998330</v>
      </c>
      <c r="O101" s="15">
        <f>($G101/Assumptions!$E$8+($H101/Assumptions!$E$14-$G101/Assumptions!$E$8)*(O$4-2019)/6)*INDEX(Assumptions!$E$5:$E$14,MATCH(O$4,Assumptions!$A$5:$A$14,0))</f>
        <v>7371912.0725913299</v>
      </c>
      <c r="P101" s="15">
        <f>($G101/Assumptions!$E$8+($H101/Assumptions!$E$14-$G101/Assumptions!$E$8)*(P$4-2019)/6)*INDEX(Assumptions!$E$5:$E$14,MATCH(P$4,Assumptions!$A$5:$A$14,0))</f>
        <v>8029805.7503582938</v>
      </c>
      <c r="Q101" s="15">
        <f>($G101/Assumptions!$E$8+($H101/Assumptions!$E$14-$G101/Assumptions!$E$8)*(Q$4-2019)/6)*INDEX(Assumptions!$E$5:$E$14,MATCH(Q$4,Assumptions!$A$5:$A$14,0))</f>
        <v>9057948.6186164189</v>
      </c>
      <c r="R101" s="15">
        <f>($G101/Assumptions!$E$8+($H101/Assumptions!$E$14-$G101/Assumptions!$E$8)*(R$4-2019)/6)*INDEX(Assumptions!$E$5:$E$14,MATCH(R$4,Assumptions!$A$5:$A$14,0))</f>
        <v>9400346.7413163204</v>
      </c>
      <c r="S101" s="15">
        <f>($G101/Assumptions!$E$8+($H101/Assumptions!$E$14-$G101/Assumptions!$E$8)*(S$4-2019)/6)*INDEX(Assumptions!$E$5:$E$14,MATCH(S$4,Assumptions!$A$5:$A$14,0))</f>
        <v>9348749.8782051969</v>
      </c>
      <c r="T101" s="15">
        <f>($G101/Assumptions!$E$8+($H101/Assumptions!$E$14-$G101/Assumptions!$E$8)*(T$4-2019)/6)*INDEX(Assumptions!$E$5:$E$14,MATCH(T$4,Assumptions!$A$5:$A$14,0))</f>
        <v>9439333</v>
      </c>
    </row>
    <row r="102" spans="1:20">
      <c r="A102" s="16" t="s">
        <v>192</v>
      </c>
      <c r="B102" s="16" t="s">
        <v>190</v>
      </c>
      <c r="C102" s="17">
        <v>386637</v>
      </c>
      <c r="D102" s="17">
        <v>632159</v>
      </c>
      <c r="E102" s="17">
        <v>964343</v>
      </c>
      <c r="F102" s="17">
        <v>1082827</v>
      </c>
      <c r="G102" s="18">
        <f>C102+E102</f>
        <v>1350980</v>
      </c>
      <c r="H102" s="18">
        <f>D102+F102</f>
        <v>1714986</v>
      </c>
      <c r="I102" s="19">
        <f>IFERROR((D102/C102)^(1/6)-1,0)</f>
        <v>8.5393339381913069E-2</v>
      </c>
      <c r="J102" s="19">
        <f>IFERROR((H102/G102)^(1/6)-1,0)</f>
        <v>4.056355241888765E-2</v>
      </c>
      <c r="K102" s="18">
        <f>($G102/Assumptions!$E$8+($H102/Assumptions!$E$14-$G102/Assumptions!$E$8)*(K$4-2019)/6)*INDEX(Assumptions!$E$5:$E$14,MATCH(K$4,Assumptions!$A$5:$A$14,0))</f>
        <v>1271440.6720296207</v>
      </c>
      <c r="L102" s="18">
        <f>($G102/Assumptions!$E$8+($H102/Assumptions!$E$14-$G102/Assumptions!$E$8)*(L$4-2019)/6)*INDEX(Assumptions!$E$5:$E$14,MATCH(L$4,Assumptions!$A$5:$A$14,0))</f>
        <v>1288466.1406671386</v>
      </c>
      <c r="M102" s="18">
        <f>($G102/Assumptions!$E$8+($H102/Assumptions!$E$14-$G102/Assumptions!$E$8)*(M$4-2019)/6)*INDEX(Assumptions!$E$5:$E$14,MATCH(M$4,Assumptions!$A$5:$A$14,0))</f>
        <v>1309634.0225942375</v>
      </c>
      <c r="N102" s="18">
        <f>($G102/Assumptions!$E$8+($H102/Assumptions!$E$14-$G102/Assumptions!$E$8)*(N$4-2019)/6)*INDEX(Assumptions!$E$5:$E$14,MATCH(N$4,Assumptions!$A$5:$A$14,0))</f>
        <v>1350980.0000000002</v>
      </c>
      <c r="O102" s="18">
        <f>($G102/Assumptions!$E$8+($H102/Assumptions!$E$14-$G102/Assumptions!$E$8)*(O$4-2019)/6)*INDEX(Assumptions!$E$5:$E$14,MATCH(O$4,Assumptions!$A$5:$A$14,0))</f>
        <v>1408997.4110193157</v>
      </c>
      <c r="P102" s="18">
        <f>($G102/Assumptions!$E$8+($H102/Assumptions!$E$14-$G102/Assumptions!$E$8)*(P$4-2019)/6)*INDEX(Assumptions!$E$5:$E$14,MATCH(P$4,Assumptions!$A$5:$A$14,0))</f>
        <v>1519446.2251059883</v>
      </c>
      <c r="Q102" s="18">
        <f>($G102/Assumptions!$E$8+($H102/Assumptions!$E$14-$G102/Assumptions!$E$8)*(Q$4-2019)/6)*INDEX(Assumptions!$E$5:$E$14,MATCH(Q$4,Assumptions!$A$5:$A$14,0))</f>
        <v>1696815.6157758979</v>
      </c>
      <c r="R102" s="18">
        <f>($G102/Assumptions!$E$8+($H102/Assumptions!$E$14-$G102/Assumptions!$E$8)*(R$4-2019)/6)*INDEX(Assumptions!$E$5:$E$14,MATCH(R$4,Assumptions!$A$5:$A$14,0))</f>
        <v>1743199.0542325403</v>
      </c>
      <c r="S102" s="18">
        <f>($G102/Assumptions!$E$8+($H102/Assumptions!$E$14-$G102/Assumptions!$E$8)*(S$4-2019)/6)*INDEX(Assumptions!$E$5:$E$14,MATCH(S$4,Assumptions!$A$5:$A$14,0))</f>
        <v>1716043.5216309109</v>
      </c>
      <c r="T102" s="18">
        <f>($G102/Assumptions!$E$8+($H102/Assumptions!$E$14-$G102/Assumptions!$E$8)*(T$4-2019)/6)*INDEX(Assumptions!$E$5:$E$14,MATCH(T$4,Assumptions!$A$5:$A$14,0))</f>
        <v>1714986</v>
      </c>
    </row>
    <row r="103" spans="1:20">
      <c r="A103" s="3" t="s">
        <v>193</v>
      </c>
      <c r="B103" s="3" t="s">
        <v>190</v>
      </c>
      <c r="C103" s="14">
        <v>11800880</v>
      </c>
      <c r="D103" s="14">
        <v>14252853</v>
      </c>
      <c r="E103" s="14">
        <v>4784184</v>
      </c>
      <c r="F103" s="14">
        <v>6359810</v>
      </c>
      <c r="G103" s="15">
        <f>C103+E103</f>
        <v>16585064</v>
      </c>
      <c r="H103" s="15">
        <f>D103+F103</f>
        <v>20612663</v>
      </c>
      <c r="I103" s="10">
        <f>IFERROR((D103/C103)^(1/6)-1,0)</f>
        <v>3.1964050886051698E-2</v>
      </c>
      <c r="J103" s="10">
        <f>IFERROR((H103/G103)^(1/6)-1,0)</f>
        <v>3.6898290651812271E-2</v>
      </c>
      <c r="K103" s="15">
        <f>($G103/Assumptions!$E$8+($H103/Assumptions!$E$14-$G103/Assumptions!$E$8)*(K$4-2019)/6)*INDEX(Assumptions!$E$5:$E$14,MATCH(K$4,Assumptions!$A$5:$A$14,0))</f>
        <v>15760824.737728385</v>
      </c>
      <c r="L103" s="15">
        <f>($G103/Assumptions!$E$8+($H103/Assumptions!$E$14-$G103/Assumptions!$E$8)*(L$4-2019)/6)*INDEX(Assumptions!$E$5:$E$14,MATCH(L$4,Assumptions!$A$5:$A$14,0))</f>
        <v>15921251.175767578</v>
      </c>
      <c r="M103" s="15">
        <f>($G103/Assumptions!$E$8+($H103/Assumptions!$E$14-$G103/Assumptions!$E$8)*(M$4-2019)/6)*INDEX(Assumptions!$E$5:$E$14,MATCH(M$4,Assumptions!$A$5:$A$14,0))</f>
        <v>16130562.514833611</v>
      </c>
      <c r="N103" s="15">
        <f>($G103/Assumptions!$E$8+($H103/Assumptions!$E$14-$G103/Assumptions!$E$8)*(N$4-2019)/6)*INDEX(Assumptions!$E$5:$E$14,MATCH(N$4,Assumptions!$A$5:$A$14,0))</f>
        <v>16585064.000000002</v>
      </c>
      <c r="O103" s="15">
        <f>($G103/Assumptions!$E$8+($H103/Assumptions!$E$14-$G103/Assumptions!$E$8)*(O$4-2019)/6)*INDEX(Assumptions!$E$5:$E$14,MATCH(O$4,Assumptions!$A$5:$A$14,0))</f>
        <v>17239299.168322448</v>
      </c>
      <c r="P103" s="15">
        <f>($G103/Assumptions!$E$8+($H103/Assumptions!$E$14-$G103/Assumptions!$E$8)*(P$4-2019)/6)*INDEX(Assumptions!$E$5:$E$14,MATCH(P$4,Assumptions!$A$5:$A$14,0))</f>
        <v>18527107.781261884</v>
      </c>
      <c r="Q103" s="15">
        <f>($G103/Assumptions!$E$8+($H103/Assumptions!$E$14-$G103/Assumptions!$E$8)*(Q$4-2019)/6)*INDEX(Assumptions!$E$5:$E$14,MATCH(Q$4,Assumptions!$A$5:$A$14,0))</f>
        <v>20617722.525904518</v>
      </c>
      <c r="R103" s="15">
        <f>($G103/Assumptions!$E$8+($H103/Assumptions!$E$14-$G103/Assumptions!$E$8)*(R$4-2019)/6)*INDEX(Assumptions!$E$5:$E$14,MATCH(R$4,Assumptions!$A$5:$A$14,0))</f>
        <v>21106039.801715553</v>
      </c>
      <c r="S103" s="15">
        <f>($G103/Assumptions!$E$8+($H103/Assumptions!$E$14-$G103/Assumptions!$E$8)*(S$4-2019)/6)*INDEX(Assumptions!$E$5:$E$14,MATCH(S$4,Assumptions!$A$5:$A$14,0))</f>
        <v>20701932.124507915</v>
      </c>
      <c r="T103" s="15">
        <f>($G103/Assumptions!$E$8+($H103/Assumptions!$E$14-$G103/Assumptions!$E$8)*(T$4-2019)/6)*INDEX(Assumptions!$E$5:$E$14,MATCH(T$4,Assumptions!$A$5:$A$14,0))</f>
        <v>20612663</v>
      </c>
    </row>
    <row r="104" spans="1:20">
      <c r="A104" s="16" t="s">
        <v>194</v>
      </c>
      <c r="B104" s="16" t="s">
        <v>190</v>
      </c>
      <c r="C104" s="17">
        <v>41999454</v>
      </c>
      <c r="D104" s="17">
        <v>60185414</v>
      </c>
      <c r="E104" s="17">
        <v>41004962</v>
      </c>
      <c r="F104" s="17">
        <v>50762429</v>
      </c>
      <c r="G104" s="18">
        <f>C104+E104</f>
        <v>83004416</v>
      </c>
      <c r="H104" s="18">
        <f>D104+F104</f>
        <v>110947843</v>
      </c>
      <c r="I104" s="19">
        <f>IFERROR((D104/C104)^(1/6)-1,0)</f>
        <v>6.1796447470005011E-2</v>
      </c>
      <c r="J104" s="19">
        <f>IFERROR((H104/G104)^(1/6)-1,0)</f>
        <v>4.9549543713847566E-2</v>
      </c>
      <c r="K104" s="18">
        <f>($G104/Assumptions!$E$8+($H104/Assumptions!$E$14-$G104/Assumptions!$E$8)*(K$4-2019)/6)*INDEX(Assumptions!$E$5:$E$14,MATCH(K$4,Assumptions!$A$5:$A$14,0))</f>
        <v>76192213.291904017</v>
      </c>
      <c r="L104" s="18">
        <f>($G104/Assumptions!$E$8+($H104/Assumptions!$E$14-$G104/Assumptions!$E$8)*(L$4-2019)/6)*INDEX(Assumptions!$E$5:$E$14,MATCH(L$4,Assumptions!$A$5:$A$14,0))</f>
        <v>77852788.191613361</v>
      </c>
      <c r="M104" s="18">
        <f>($G104/Assumptions!$E$8+($H104/Assumptions!$E$14-$G104/Assumptions!$E$8)*(M$4-2019)/6)*INDEX(Assumptions!$E$5:$E$14,MATCH(M$4,Assumptions!$A$5:$A$14,0))</f>
        <v>79792775.298793122</v>
      </c>
      <c r="N104" s="18">
        <f>($G104/Assumptions!$E$8+($H104/Assumptions!$E$14-$G104/Assumptions!$E$8)*(N$4-2019)/6)*INDEX(Assumptions!$E$5:$E$14,MATCH(N$4,Assumptions!$A$5:$A$14,0))</f>
        <v>83004416</v>
      </c>
      <c r="O104" s="18">
        <f>($G104/Assumptions!$E$8+($H104/Assumptions!$E$14-$G104/Assumptions!$E$8)*(O$4-2019)/6)*INDEX(Assumptions!$E$5:$E$14,MATCH(O$4,Assumptions!$A$5:$A$14,0))</f>
        <v>87302713.274644703</v>
      </c>
      <c r="P104" s="18">
        <f>($G104/Assumptions!$E$8+($H104/Assumptions!$E$14-$G104/Assumptions!$E$8)*(P$4-2019)/6)*INDEX(Assumptions!$E$5:$E$14,MATCH(P$4,Assumptions!$A$5:$A$14,0))</f>
        <v>94950047.015752763</v>
      </c>
      <c r="Q104" s="18">
        <f>($G104/Assumptions!$E$8+($H104/Assumptions!$E$14-$G104/Assumptions!$E$8)*(Q$4-2019)/6)*INDEX(Assumptions!$E$5:$E$14,MATCH(Q$4,Assumptions!$A$5:$A$14,0))</f>
        <v>106945933.64394183</v>
      </c>
      <c r="R104" s="18">
        <f>($G104/Assumptions!$E$8+($H104/Assumptions!$E$14-$G104/Assumptions!$E$8)*(R$4-2019)/6)*INDEX(Assumptions!$E$5:$E$14,MATCH(R$4,Assumptions!$A$5:$A$14,0))</f>
        <v>110821569.48501052</v>
      </c>
      <c r="S104" s="18">
        <f>($G104/Assumptions!$E$8+($H104/Assumptions!$E$14-$G104/Assumptions!$E$8)*(S$4-2019)/6)*INDEX(Assumptions!$E$5:$E$14,MATCH(S$4,Assumptions!$A$5:$A$14,0))</f>
        <v>110047879.11126962</v>
      </c>
      <c r="T104" s="18">
        <f>($G104/Assumptions!$E$8+($H104/Assumptions!$E$14-$G104/Assumptions!$E$8)*(T$4-2019)/6)*INDEX(Assumptions!$E$5:$E$14,MATCH(T$4,Assumptions!$A$5:$A$14,0))</f>
        <v>110947843</v>
      </c>
    </row>
    <row r="105" spans="1:20">
      <c r="A105" s="3" t="s">
        <v>195</v>
      </c>
      <c r="B105" s="3" t="s">
        <v>190</v>
      </c>
      <c r="C105" s="14">
        <v>8207347</v>
      </c>
      <c r="D105" s="14">
        <v>10120756</v>
      </c>
      <c r="E105" s="14">
        <v>2693959</v>
      </c>
      <c r="F105" s="14">
        <v>3447015</v>
      </c>
      <c r="G105" s="15">
        <f>C105+E105</f>
        <v>10901306</v>
      </c>
      <c r="H105" s="15">
        <f>D105+F105</f>
        <v>13567771</v>
      </c>
      <c r="I105" s="10">
        <f>IFERROR((D105/C105)^(1/6)-1,0)</f>
        <v>3.5543530706861448E-2</v>
      </c>
      <c r="J105" s="10">
        <f>IFERROR((H105/G105)^(1/6)-1,0)</f>
        <v>3.7142256239610205E-2</v>
      </c>
      <c r="K105" s="15">
        <f>($G105/Assumptions!$E$8+($H105/Assumptions!$E$14-$G105/Assumptions!$E$8)*(K$4-2019)/6)*INDEX(Assumptions!$E$5:$E$14,MATCH(K$4,Assumptions!$A$5:$A$14,0))</f>
        <v>10352931.727939744</v>
      </c>
      <c r="L105" s="15">
        <f>($G105/Assumptions!$E$8+($H105/Assumptions!$E$14-$G105/Assumptions!$E$8)*(L$4-2019)/6)*INDEX(Assumptions!$E$5:$E$14,MATCH(L$4,Assumptions!$A$5:$A$14,0))</f>
        <v>10460487.581332792</v>
      </c>
      <c r="M105" s="15">
        <f>($G105/Assumptions!$E$8+($H105/Assumptions!$E$14-$G105/Assumptions!$E$8)*(M$4-2019)/6)*INDEX(Assumptions!$E$5:$E$14,MATCH(M$4,Assumptions!$A$5:$A$14,0))</f>
        <v>10600260.737372281</v>
      </c>
      <c r="N105" s="15">
        <f>($G105/Assumptions!$E$8+($H105/Assumptions!$E$14-$G105/Assumptions!$E$8)*(N$4-2019)/6)*INDEX(Assumptions!$E$5:$E$14,MATCH(N$4,Assumptions!$A$5:$A$14,0))</f>
        <v>10901306</v>
      </c>
      <c r="O105" s="15">
        <f>($G105/Assumptions!$E$8+($H105/Assumptions!$E$14-$G105/Assumptions!$E$8)*(O$4-2019)/6)*INDEX(Assumptions!$E$5:$E$14,MATCH(O$4,Assumptions!$A$5:$A$14,0))</f>
        <v>11333849.457870994</v>
      </c>
      <c r="P105" s="15">
        <f>($G105/Assumptions!$E$8+($H105/Assumptions!$E$14-$G105/Assumptions!$E$8)*(P$4-2019)/6)*INDEX(Assumptions!$E$5:$E$14,MATCH(P$4,Assumptions!$A$5:$A$14,0))</f>
        <v>12183276.452613575</v>
      </c>
      <c r="Q105" s="15">
        <f>($G105/Assumptions!$E$8+($H105/Assumptions!$E$14-$G105/Assumptions!$E$8)*(Q$4-2019)/6)*INDEX(Assumptions!$E$5:$E$14,MATCH(Q$4,Assumptions!$A$5:$A$14,0))</f>
        <v>13561197.997827465</v>
      </c>
      <c r="R105" s="15">
        <f>($G105/Assumptions!$E$8+($H105/Assumptions!$E$14-$G105/Assumptions!$E$8)*(R$4-2019)/6)*INDEX(Assumptions!$E$5:$E$14,MATCH(R$4,Assumptions!$A$5:$A$14,0))</f>
        <v>13885686.332236135</v>
      </c>
      <c r="S105" s="15">
        <f>($G105/Assumptions!$E$8+($H105/Assumptions!$E$14-$G105/Assumptions!$E$8)*(S$4-2019)/6)*INDEX(Assumptions!$E$5:$E$14,MATCH(S$4,Assumptions!$A$5:$A$14,0))</f>
        <v>13623137.123775002</v>
      </c>
      <c r="T105" s="15">
        <f>($G105/Assumptions!$E$8+($H105/Assumptions!$E$14-$G105/Assumptions!$E$8)*(T$4-2019)/6)*INDEX(Assumptions!$E$5:$E$14,MATCH(T$4,Assumptions!$A$5:$A$14,0))</f>
        <v>13567771</v>
      </c>
    </row>
    <row r="106" spans="1:20">
      <c r="A106" s="16" t="s">
        <v>196</v>
      </c>
      <c r="B106" s="16" t="s">
        <v>190</v>
      </c>
      <c r="C106" s="17">
        <v>1427893</v>
      </c>
      <c r="D106" s="17">
        <v>1789390</v>
      </c>
      <c r="E106" s="17">
        <v>868887</v>
      </c>
      <c r="F106" s="17">
        <v>1031035</v>
      </c>
      <c r="G106" s="18">
        <f>C106+E106</f>
        <v>2296780</v>
      </c>
      <c r="H106" s="18">
        <f>D106+F106</f>
        <v>2820425</v>
      </c>
      <c r="I106" s="19">
        <f>IFERROR((D106/C106)^(1/6)-1,0)</f>
        <v>3.8328776286008948E-2</v>
      </c>
      <c r="J106" s="19">
        <f>IFERROR((H106/G106)^(1/6)-1,0)</f>
        <v>3.4822492108187886E-2</v>
      </c>
      <c r="K106" s="18">
        <f>($G106/Assumptions!$E$8+($H106/Assumptions!$E$14-$G106/Assumptions!$E$8)*(K$4-2019)/6)*INDEX(Assumptions!$E$5:$E$14,MATCH(K$4,Assumptions!$A$5:$A$14,0))</f>
        <v>2194409.148042486</v>
      </c>
      <c r="L106" s="18">
        <f>($G106/Assumptions!$E$8+($H106/Assumptions!$E$14-$G106/Assumptions!$E$8)*(L$4-2019)/6)*INDEX(Assumptions!$E$5:$E$14,MATCH(L$4,Assumptions!$A$5:$A$14,0))</f>
        <v>2212867.744958072</v>
      </c>
      <c r="M106" s="18">
        <f>($G106/Assumptions!$E$8+($H106/Assumptions!$E$14-$G106/Assumptions!$E$8)*(M$4-2019)/6)*INDEX(Assumptions!$E$5:$E$14,MATCH(M$4,Assumptions!$A$5:$A$14,0))</f>
        <v>2237943.8778226175</v>
      </c>
      <c r="N106" s="18">
        <f>($G106/Assumptions!$E$8+($H106/Assumptions!$E$14-$G106/Assumptions!$E$8)*(N$4-2019)/6)*INDEX(Assumptions!$E$5:$E$14,MATCH(N$4,Assumptions!$A$5:$A$14,0))</f>
        <v>2296780</v>
      </c>
      <c r="O106" s="18">
        <f>($G106/Assumptions!$E$8+($H106/Assumptions!$E$14-$G106/Assumptions!$E$8)*(O$4-2019)/6)*INDEX(Assumptions!$E$5:$E$14,MATCH(O$4,Assumptions!$A$5:$A$14,0))</f>
        <v>2382894.8515556892</v>
      </c>
      <c r="P106" s="18">
        <f>($G106/Assumptions!$E$8+($H106/Assumptions!$E$14-$G106/Assumptions!$E$8)*(P$4-2019)/6)*INDEX(Assumptions!$E$5:$E$14,MATCH(P$4,Assumptions!$A$5:$A$14,0))</f>
        <v>2555969.4440586003</v>
      </c>
      <c r="Q106" s="18">
        <f>($G106/Assumptions!$E$8+($H106/Assumptions!$E$14-$G106/Assumptions!$E$8)*(Q$4-2019)/6)*INDEX(Assumptions!$E$5:$E$14,MATCH(Q$4,Assumptions!$A$5:$A$14,0))</f>
        <v>2838771.5387926106</v>
      </c>
      <c r="R106" s="18">
        <f>($G106/Assumptions!$E$8+($H106/Assumptions!$E$14-$G106/Assumptions!$E$8)*(R$4-2019)/6)*INDEX(Assumptions!$E$5:$E$14,MATCH(R$4,Assumptions!$A$5:$A$14,0))</f>
        <v>2900122.7982462877</v>
      </c>
      <c r="S106" s="18">
        <f>($G106/Assumptions!$E$8+($H106/Assumptions!$E$14-$G106/Assumptions!$E$8)*(S$4-2019)/6)*INDEX(Assumptions!$E$5:$E$14,MATCH(S$4,Assumptions!$A$5:$A$14,0))</f>
        <v>2838688.327857343</v>
      </c>
      <c r="T106" s="18">
        <f>($G106/Assumptions!$E$8+($H106/Assumptions!$E$14-$G106/Assumptions!$E$8)*(T$4-2019)/6)*INDEX(Assumptions!$E$5:$E$14,MATCH(T$4,Assumptions!$A$5:$A$14,0))</f>
        <v>2820425</v>
      </c>
    </row>
    <row r="107" spans="1:20">
      <c r="A107" s="3" t="s">
        <v>197</v>
      </c>
      <c r="B107" s="3" t="s">
        <v>190</v>
      </c>
      <c r="C107" s="14">
        <v>8979737</v>
      </c>
      <c r="D107" s="14">
        <v>13726795</v>
      </c>
      <c r="E107" s="14">
        <v>6263332</v>
      </c>
      <c r="F107" s="14">
        <v>7343849</v>
      </c>
      <c r="G107" s="15">
        <f>C107+E107</f>
        <v>15243069</v>
      </c>
      <c r="H107" s="15">
        <f>D107+F107</f>
        <v>21070644</v>
      </c>
      <c r="I107" s="10">
        <f>IFERROR((D107/C107)^(1/6)-1,0)</f>
        <v>7.3291249147854565E-2</v>
      </c>
      <c r="J107" s="10">
        <f>IFERROR((H107/G107)^(1/6)-1,0)</f>
        <v>5.544165961655434E-2</v>
      </c>
      <c r="K107" s="15">
        <f>($G107/Assumptions!$E$8+($H107/Assumptions!$E$14-$G107/Assumptions!$E$8)*(K$4-2019)/6)*INDEX(Assumptions!$E$5:$E$14,MATCH(K$4,Assumptions!$A$5:$A$14,0))</f>
        <v>13751871.559798695</v>
      </c>
      <c r="L107" s="15">
        <f>($G107/Assumptions!$E$8+($H107/Assumptions!$E$14-$G107/Assumptions!$E$8)*(L$4-2019)/6)*INDEX(Assumptions!$E$5:$E$14,MATCH(L$4,Assumptions!$A$5:$A$14,0))</f>
        <v>14133488.670252977</v>
      </c>
      <c r="M107" s="15">
        <f>($G107/Assumptions!$E$8+($H107/Assumptions!$E$14-$G107/Assumptions!$E$8)*(M$4-2019)/6)*INDEX(Assumptions!$E$5:$E$14,MATCH(M$4,Assumptions!$A$5:$A$14,0))</f>
        <v>14569524.155862683</v>
      </c>
      <c r="N107" s="15">
        <f>($G107/Assumptions!$E$8+($H107/Assumptions!$E$14-$G107/Assumptions!$E$8)*(N$4-2019)/6)*INDEX(Assumptions!$E$5:$E$14,MATCH(N$4,Assumptions!$A$5:$A$14,0))</f>
        <v>15243069</v>
      </c>
      <c r="O107" s="15">
        <f>($G107/Assumptions!$E$8+($H107/Assumptions!$E$14-$G107/Assumptions!$E$8)*(O$4-2019)/6)*INDEX(Assumptions!$E$5:$E$14,MATCH(O$4,Assumptions!$A$5:$A$14,0))</f>
        <v>16123949.232384041</v>
      </c>
      <c r="P107" s="15">
        <f>($G107/Assumptions!$E$8+($H107/Assumptions!$E$14-$G107/Assumptions!$E$8)*(P$4-2019)/6)*INDEX(Assumptions!$E$5:$E$14,MATCH(P$4,Assumptions!$A$5:$A$14,0))</f>
        <v>17635776.414140683</v>
      </c>
      <c r="Q107" s="15">
        <f>($G107/Assumptions!$E$8+($H107/Assumptions!$E$14-$G107/Assumptions!$E$8)*(Q$4-2019)/6)*INDEX(Assumptions!$E$5:$E$14,MATCH(Q$4,Assumptions!$A$5:$A$14,0))</f>
        <v>19975739.22668219</v>
      </c>
      <c r="R107" s="15">
        <f>($G107/Assumptions!$E$8+($H107/Assumptions!$E$14-$G107/Assumptions!$E$8)*(R$4-2019)/6)*INDEX(Assumptions!$E$5:$E$14,MATCH(R$4,Assumptions!$A$5:$A$14,0))</f>
        <v>20815446.560663689</v>
      </c>
      <c r="S107" s="15">
        <f>($G107/Assumptions!$E$8+($H107/Assumptions!$E$14-$G107/Assumptions!$E$8)*(S$4-2019)/6)*INDEX(Assumptions!$E$5:$E$14,MATCH(S$4,Assumptions!$A$5:$A$14,0))</f>
        <v>20784990.713607606</v>
      </c>
      <c r="T107" s="15">
        <f>($G107/Assumptions!$E$8+($H107/Assumptions!$E$14-$G107/Assumptions!$E$8)*(T$4-2019)/6)*INDEX(Assumptions!$E$5:$E$14,MATCH(T$4,Assumptions!$A$5:$A$14,0))</f>
        <v>21070644</v>
      </c>
    </row>
    <row r="108" spans="1:20">
      <c r="A108" s="16" t="s">
        <v>198</v>
      </c>
      <c r="B108" s="16" t="s">
        <v>190</v>
      </c>
      <c r="C108" s="17">
        <v>1744982</v>
      </c>
      <c r="D108" s="17">
        <v>2807702</v>
      </c>
      <c r="E108" s="17">
        <v>1066325</v>
      </c>
      <c r="F108" s="17">
        <v>1130782</v>
      </c>
      <c r="G108" s="18">
        <f>C108+E108</f>
        <v>2811307</v>
      </c>
      <c r="H108" s="18">
        <f>D108+F108</f>
        <v>3938484</v>
      </c>
      <c r="I108" s="19">
        <f>IFERROR((D108/C108)^(1/6)-1,0)</f>
        <v>8.2496938224120075E-2</v>
      </c>
      <c r="J108" s="19">
        <f>IFERROR((H108/G108)^(1/6)-1,0)</f>
        <v>5.7799770815364804E-2</v>
      </c>
      <c r="K108" s="18">
        <f>($G108/Assumptions!$E$8+($H108/Assumptions!$E$14-$G108/Assumptions!$E$8)*(K$4-2019)/6)*INDEX(Assumptions!$E$5:$E$14,MATCH(K$4,Assumptions!$A$5:$A$14,0))</f>
        <v>2518203.7468603118</v>
      </c>
      <c r="L108" s="18">
        <f>($G108/Assumptions!$E$8+($H108/Assumptions!$E$14-$G108/Assumptions!$E$8)*(L$4-2019)/6)*INDEX(Assumptions!$E$5:$E$14,MATCH(L$4,Assumptions!$A$5:$A$14,0))</f>
        <v>2594356.6519510224</v>
      </c>
      <c r="M108" s="18">
        <f>($G108/Assumptions!$E$8+($H108/Assumptions!$E$14-$G108/Assumptions!$E$8)*(M$4-2019)/6)*INDEX(Assumptions!$E$5:$E$14,MATCH(M$4,Assumptions!$A$5:$A$14,0))</f>
        <v>2680779.8703650152</v>
      </c>
      <c r="N108" s="18">
        <f>($G108/Assumptions!$E$8+($H108/Assumptions!$E$14-$G108/Assumptions!$E$8)*(N$4-2019)/6)*INDEX(Assumptions!$E$5:$E$14,MATCH(N$4,Assumptions!$A$5:$A$14,0))</f>
        <v>2811307</v>
      </c>
      <c r="O108" s="18">
        <f>($G108/Assumptions!$E$8+($H108/Assumptions!$E$14-$G108/Assumptions!$E$8)*(O$4-2019)/6)*INDEX(Assumptions!$E$5:$E$14,MATCH(O$4,Assumptions!$A$5:$A$14,0))</f>
        <v>2980658.9600092699</v>
      </c>
      <c r="P108" s="18">
        <f>($G108/Assumptions!$E$8+($H108/Assumptions!$E$14-$G108/Assumptions!$E$8)*(P$4-2019)/6)*INDEX(Assumptions!$E$5:$E$14,MATCH(P$4,Assumptions!$A$5:$A$14,0))</f>
        <v>3267576.2164335418</v>
      </c>
      <c r="Q108" s="18">
        <f>($G108/Assumptions!$E$8+($H108/Assumptions!$E$14-$G108/Assumptions!$E$8)*(Q$4-2019)/6)*INDEX(Assumptions!$E$5:$E$14,MATCH(Q$4,Assumptions!$A$5:$A$14,0))</f>
        <v>3709452.9857059238</v>
      </c>
      <c r="R108" s="18">
        <f>($G108/Assumptions!$E$8+($H108/Assumptions!$E$14-$G108/Assumptions!$E$8)*(R$4-2019)/6)*INDEX(Assumptions!$E$5:$E$14,MATCH(R$4,Assumptions!$A$5:$A$14,0))</f>
        <v>3873954.5412030267</v>
      </c>
      <c r="S108" s="18">
        <f>($G108/Assumptions!$E$8+($H108/Assumptions!$E$14-$G108/Assumptions!$E$8)*(S$4-2019)/6)*INDEX(Assumptions!$E$5:$E$14,MATCH(S$4,Assumptions!$A$5:$A$14,0))</f>
        <v>3876739.4350014664</v>
      </c>
      <c r="T108" s="18">
        <f>($G108/Assumptions!$E$8+($H108/Assumptions!$E$14-$G108/Assumptions!$E$8)*(T$4-2019)/6)*INDEX(Assumptions!$E$5:$E$14,MATCH(T$4,Assumptions!$A$5:$A$14,0))</f>
        <v>3938484</v>
      </c>
    </row>
    <row r="109" spans="1:20">
      <c r="A109" s="3" t="s">
        <v>199</v>
      </c>
      <c r="B109" s="3" t="s">
        <v>190</v>
      </c>
      <c r="C109" s="14">
        <v>11826813</v>
      </c>
      <c r="D109" s="14">
        <v>13449817</v>
      </c>
      <c r="E109" s="14">
        <v>3144312</v>
      </c>
      <c r="F109" s="14">
        <v>3783660</v>
      </c>
      <c r="G109" s="15">
        <f>C109+E109</f>
        <v>14971125</v>
      </c>
      <c r="H109" s="15">
        <f>D109+F109</f>
        <v>17233477</v>
      </c>
      <c r="I109" s="10">
        <f>IFERROR((D109/C109)^(1/6)-1,0)</f>
        <v>2.1664039934774282E-2</v>
      </c>
      <c r="J109" s="10">
        <f>IFERROR((H109/G109)^(1/6)-1,0)</f>
        <v>2.3732314248605002E-2</v>
      </c>
      <c r="K109" s="15">
        <f>($G109/Assumptions!$E$8+($H109/Assumptions!$E$14-$G109/Assumptions!$E$8)*(K$4-2019)/6)*INDEX(Assumptions!$E$5:$E$14,MATCH(K$4,Assumptions!$A$5:$A$14,0))</f>
        <v>14701032.825164868</v>
      </c>
      <c r="L109" s="15">
        <f>($G109/Assumptions!$E$8+($H109/Assumptions!$E$14-$G109/Assumptions!$E$8)*(L$4-2019)/6)*INDEX(Assumptions!$E$5:$E$14,MATCH(L$4,Assumptions!$A$5:$A$14,0))</f>
        <v>14694573.194977768</v>
      </c>
      <c r="M109" s="15">
        <f>($G109/Assumptions!$E$8+($H109/Assumptions!$E$14-$G109/Assumptions!$E$8)*(M$4-2019)/6)*INDEX(Assumptions!$E$5:$E$14,MATCH(M$4,Assumptions!$A$5:$A$14,0))</f>
        <v>14726111.436736772</v>
      </c>
      <c r="N109" s="15">
        <f>($G109/Assumptions!$E$8+($H109/Assumptions!$E$14-$G109/Assumptions!$E$8)*(N$4-2019)/6)*INDEX(Assumptions!$E$5:$E$14,MATCH(N$4,Assumptions!$A$5:$A$14,0))</f>
        <v>14971125</v>
      </c>
      <c r="O109" s="15">
        <f>($G109/Assumptions!$E$8+($H109/Assumptions!$E$14-$G109/Assumptions!$E$8)*(O$4-2019)/6)*INDEX(Assumptions!$E$5:$E$14,MATCH(O$4,Assumptions!$A$5:$A$14,0))</f>
        <v>15381084.532023279</v>
      </c>
      <c r="P109" s="15">
        <f>($G109/Assumptions!$E$8+($H109/Assumptions!$E$14-$G109/Assumptions!$E$8)*(P$4-2019)/6)*INDEX(Assumptions!$E$5:$E$14,MATCH(P$4,Assumptions!$A$5:$A$14,0))</f>
        <v>16331541.570431115</v>
      </c>
      <c r="Q109" s="15">
        <f>($G109/Assumptions!$E$8+($H109/Assumptions!$E$14-$G109/Assumptions!$E$8)*(Q$4-2019)/6)*INDEX(Assumptions!$E$5:$E$14,MATCH(Q$4,Assumptions!$A$5:$A$14,0))</f>
        <v>17948354.72309047</v>
      </c>
      <c r="R109" s="15">
        <f>($G109/Assumptions!$E$8+($H109/Assumptions!$E$14-$G109/Assumptions!$E$8)*(R$4-2019)/6)*INDEX(Assumptions!$E$5:$E$14,MATCH(R$4,Assumptions!$A$5:$A$14,0))</f>
        <v>18136630.02778079</v>
      </c>
      <c r="S109" s="15">
        <f>($G109/Assumptions!$E$8+($H109/Assumptions!$E$14-$G109/Assumptions!$E$8)*(S$4-2019)/6)*INDEX(Assumptions!$E$5:$E$14,MATCH(S$4,Assumptions!$A$5:$A$14,0))</f>
        <v>17551592.088605959</v>
      </c>
      <c r="T109" s="15">
        <f>($G109/Assumptions!$E$8+($H109/Assumptions!$E$14-$G109/Assumptions!$E$8)*(T$4-2019)/6)*INDEX(Assumptions!$E$5:$E$14,MATCH(T$4,Assumptions!$A$5:$A$14,0))</f>
        <v>17233477</v>
      </c>
    </row>
    <row r="110" spans="1:20">
      <c r="A110" s="16" t="s">
        <v>200</v>
      </c>
      <c r="B110" s="16" t="s">
        <v>190</v>
      </c>
      <c r="C110" s="17">
        <v>5186922</v>
      </c>
      <c r="D110" s="17">
        <v>7136528</v>
      </c>
      <c r="E110" s="17">
        <v>2569133</v>
      </c>
      <c r="F110" s="17">
        <v>3101738</v>
      </c>
      <c r="G110" s="18">
        <f>C110+E110</f>
        <v>7756055</v>
      </c>
      <c r="H110" s="18">
        <f>D110+F110</f>
        <v>10238266</v>
      </c>
      <c r="I110" s="19">
        <f>IFERROR((D110/C110)^(1/6)-1,0)</f>
        <v>5.4620501135388411E-2</v>
      </c>
      <c r="J110" s="19">
        <f>IFERROR((H110/G110)^(1/6)-1,0)</f>
        <v>4.7363869428291849E-2</v>
      </c>
      <c r="K110" s="18">
        <f>($G110/Assumptions!$E$8+($H110/Assumptions!$E$14-$G110/Assumptions!$E$8)*(K$4-2019)/6)*INDEX(Assumptions!$E$5:$E$14,MATCH(K$4,Assumptions!$A$5:$A$14,0))</f>
        <v>7163984.5288150292</v>
      </c>
      <c r="L110" s="18">
        <f>($G110/Assumptions!$E$8+($H110/Assumptions!$E$14-$G110/Assumptions!$E$8)*(L$4-2019)/6)*INDEX(Assumptions!$E$5:$E$14,MATCH(L$4,Assumptions!$A$5:$A$14,0))</f>
        <v>7304956.3097467832</v>
      </c>
      <c r="M110" s="18">
        <f>($G110/Assumptions!$E$8+($H110/Assumptions!$E$14-$G110/Assumptions!$E$8)*(M$4-2019)/6)*INDEX(Assumptions!$E$5:$E$14,MATCH(M$4,Assumptions!$A$5:$A$14,0))</f>
        <v>7471461.5822547907</v>
      </c>
      <c r="N110" s="18">
        <f>($G110/Assumptions!$E$8+($H110/Assumptions!$E$14-$G110/Assumptions!$E$8)*(N$4-2019)/6)*INDEX(Assumptions!$E$5:$E$14,MATCH(N$4,Assumptions!$A$5:$A$14,0))</f>
        <v>7756055</v>
      </c>
      <c r="O110" s="18">
        <f>($G110/Assumptions!$E$8+($H110/Assumptions!$E$14-$G110/Assumptions!$E$8)*(O$4-2019)/6)*INDEX(Assumptions!$E$5:$E$14,MATCH(O$4,Assumptions!$A$5:$A$14,0))</f>
        <v>8140746.7482442874</v>
      </c>
      <c r="P110" s="18">
        <f>($G110/Assumptions!$E$8+($H110/Assumptions!$E$14-$G110/Assumptions!$E$8)*(P$4-2019)/6)*INDEX(Assumptions!$E$5:$E$14,MATCH(P$4,Assumptions!$A$5:$A$14,0))</f>
        <v>8835429.0114702079</v>
      </c>
      <c r="Q110" s="18">
        <f>($G110/Assumptions!$E$8+($H110/Assumptions!$E$14-$G110/Assumptions!$E$8)*(Q$4-2019)/6)*INDEX(Assumptions!$E$5:$E$14,MATCH(Q$4,Assumptions!$A$5:$A$14,0))</f>
        <v>9930973.4036328606</v>
      </c>
      <c r="R110" s="18">
        <f>($G110/Assumptions!$E$8+($H110/Assumptions!$E$14-$G110/Assumptions!$E$8)*(R$4-2019)/6)*INDEX(Assumptions!$E$5:$E$14,MATCH(R$4,Assumptions!$A$5:$A$14,0))</f>
        <v>10269423.184681317</v>
      </c>
      <c r="S110" s="18">
        <f>($G110/Assumptions!$E$8+($H110/Assumptions!$E$14-$G110/Assumptions!$E$8)*(S$4-2019)/6)*INDEX(Assumptions!$E$5:$E$14,MATCH(S$4,Assumptions!$A$5:$A$14,0))</f>
        <v>10176460.863134839</v>
      </c>
      <c r="T110" s="18">
        <f>($G110/Assumptions!$E$8+($H110/Assumptions!$E$14-$G110/Assumptions!$E$8)*(T$4-2019)/6)*INDEX(Assumptions!$E$5:$E$14,MATCH(T$4,Assumptions!$A$5:$A$14,0))</f>
        <v>10238266</v>
      </c>
    </row>
    <row r="111" spans="1:20">
      <c r="A111" s="3" t="s">
        <v>201</v>
      </c>
      <c r="B111" s="3" t="s">
        <v>190</v>
      </c>
      <c r="C111" s="14">
        <v>1894914</v>
      </c>
      <c r="D111" s="14">
        <v>2392096</v>
      </c>
      <c r="E111" s="14">
        <v>1363297</v>
      </c>
      <c r="F111" s="14">
        <v>1514423</v>
      </c>
      <c r="G111" s="15">
        <f>C111+E111</f>
        <v>3258211</v>
      </c>
      <c r="H111" s="15">
        <f>D111+F111</f>
        <v>3906519</v>
      </c>
      <c r="I111" s="10">
        <f>IFERROR((D111/C111)^(1/6)-1,0)</f>
        <v>3.9596599029067203E-2</v>
      </c>
      <c r="J111" s="10">
        <f>IFERROR((H111/G111)^(1/6)-1,0)</f>
        <v>3.0706755578046696E-2</v>
      </c>
      <c r="K111" s="15">
        <f>($G111/Assumptions!$E$8+($H111/Assumptions!$E$14-$G111/Assumptions!$E$8)*(K$4-2019)/6)*INDEX(Assumptions!$E$5:$E$14,MATCH(K$4,Assumptions!$A$5:$A$14,0))</f>
        <v>3145612.2326175328</v>
      </c>
      <c r="L111" s="15">
        <f>($G111/Assumptions!$E$8+($H111/Assumptions!$E$14-$G111/Assumptions!$E$8)*(L$4-2019)/6)*INDEX(Assumptions!$E$5:$E$14,MATCH(L$4,Assumptions!$A$5:$A$14,0))</f>
        <v>3161384.3050755118</v>
      </c>
      <c r="M111" s="15">
        <f>($G111/Assumptions!$E$8+($H111/Assumptions!$E$14-$G111/Assumptions!$E$8)*(M$4-2019)/6)*INDEX(Assumptions!$E$5:$E$14,MATCH(M$4,Assumptions!$A$5:$A$14,0))</f>
        <v>3186122.0467411317</v>
      </c>
      <c r="N111" s="15">
        <f>($G111/Assumptions!$E$8+($H111/Assumptions!$E$14-$G111/Assumptions!$E$8)*(N$4-2019)/6)*INDEX(Assumptions!$E$5:$E$14,MATCH(N$4,Assumptions!$A$5:$A$14,0))</f>
        <v>3258211.0000000005</v>
      </c>
      <c r="O111" s="15">
        <f>($G111/Assumptions!$E$8+($H111/Assumptions!$E$14-$G111/Assumptions!$E$8)*(O$4-2019)/6)*INDEX(Assumptions!$E$5:$E$14,MATCH(O$4,Assumptions!$A$5:$A$14,0))</f>
        <v>3367940.8239550404</v>
      </c>
      <c r="P111" s="15">
        <f>($G111/Assumptions!$E$8+($H111/Assumptions!$E$14-$G111/Assumptions!$E$8)*(P$4-2019)/6)*INDEX(Assumptions!$E$5:$E$14,MATCH(P$4,Assumptions!$A$5:$A$14,0))</f>
        <v>3598868.7579561453</v>
      </c>
      <c r="Q111" s="15">
        <f>($G111/Assumptions!$E$8+($H111/Assumptions!$E$14-$G111/Assumptions!$E$8)*(Q$4-2019)/6)*INDEX(Assumptions!$E$5:$E$14,MATCH(Q$4,Assumptions!$A$5:$A$14,0))</f>
        <v>3981441.0382805569</v>
      </c>
      <c r="R111" s="15">
        <f>($G111/Assumptions!$E$8+($H111/Assumptions!$E$14-$G111/Assumptions!$E$8)*(R$4-2019)/6)*INDEX(Assumptions!$E$5:$E$14,MATCH(R$4,Assumptions!$A$5:$A$14,0))</f>
        <v>4051091.0175804114</v>
      </c>
      <c r="S111" s="15">
        <f>($G111/Assumptions!$E$8+($H111/Assumptions!$E$14-$G111/Assumptions!$E$8)*(S$4-2019)/6)*INDEX(Assumptions!$E$5:$E$14,MATCH(S$4,Assumptions!$A$5:$A$14,0))</f>
        <v>3948778.4065592987</v>
      </c>
      <c r="T111" s="15">
        <f>($G111/Assumptions!$E$8+($H111/Assumptions!$E$14-$G111/Assumptions!$E$8)*(T$4-2019)/6)*INDEX(Assumptions!$E$5:$E$14,MATCH(T$4,Assumptions!$A$5:$A$14,0))</f>
        <v>3906519</v>
      </c>
    </row>
    <row r="112" spans="1:20">
      <c r="A112" s="16" t="s">
        <v>202</v>
      </c>
      <c r="B112" s="16" t="s">
        <v>190</v>
      </c>
      <c r="C112" s="17">
        <v>12038059</v>
      </c>
      <c r="D112" s="17">
        <v>16462338</v>
      </c>
      <c r="E112" s="17">
        <v>3530212</v>
      </c>
      <c r="F112" s="17">
        <v>4388854</v>
      </c>
      <c r="G112" s="18">
        <f>C112+E112</f>
        <v>15568271</v>
      </c>
      <c r="H112" s="18">
        <f>D112+F112</f>
        <v>20851192</v>
      </c>
      <c r="I112" s="19">
        <f>IFERROR((D112/C112)^(1/6)-1,0)</f>
        <v>5.3551673096720931E-2</v>
      </c>
      <c r="J112" s="19">
        <f>IFERROR((H112/G112)^(1/6)-1,0)</f>
        <v>4.9901164487988314E-2</v>
      </c>
      <c r="K112" s="18">
        <f>($G112/Assumptions!$E$8+($H112/Assumptions!$E$14-$G112/Assumptions!$E$8)*(K$4-2019)/6)*INDEX(Assumptions!$E$5:$E$14,MATCH(K$4,Assumptions!$A$5:$A$14,0))</f>
        <v>14276129.655034304</v>
      </c>
      <c r="L112" s="18">
        <f>($G112/Assumptions!$E$8+($H112/Assumptions!$E$14-$G112/Assumptions!$E$8)*(L$4-2019)/6)*INDEX(Assumptions!$E$5:$E$14,MATCH(L$4,Assumptions!$A$5:$A$14,0))</f>
        <v>14592197.83354182</v>
      </c>
      <c r="M112" s="18">
        <f>($G112/Assumptions!$E$8+($H112/Assumptions!$E$14-$G112/Assumptions!$E$8)*(M$4-2019)/6)*INDEX(Assumptions!$E$5:$E$14,MATCH(M$4,Assumptions!$A$5:$A$14,0))</f>
        <v>14960859.305942968</v>
      </c>
      <c r="N112" s="18">
        <f>($G112/Assumptions!$E$8+($H112/Assumptions!$E$14-$G112/Assumptions!$E$8)*(N$4-2019)/6)*INDEX(Assumptions!$E$5:$E$14,MATCH(N$4,Assumptions!$A$5:$A$14,0))</f>
        <v>15568271.000000002</v>
      </c>
      <c r="O112" s="18">
        <f>($G112/Assumptions!$E$8+($H112/Assumptions!$E$14-$G112/Assumptions!$E$8)*(O$4-2019)/6)*INDEX(Assumptions!$E$5:$E$14,MATCH(O$4,Assumptions!$A$5:$A$14,0))</f>
        <v>16379963.479545046</v>
      </c>
      <c r="P112" s="18">
        <f>($G112/Assumptions!$E$8+($H112/Assumptions!$E$14-$G112/Assumptions!$E$8)*(P$4-2019)/6)*INDEX(Assumptions!$E$5:$E$14,MATCH(P$4,Assumptions!$A$5:$A$14,0))</f>
        <v>17820757.585993633</v>
      </c>
      <c r="Q112" s="18">
        <f>($G112/Assumptions!$E$8+($H112/Assumptions!$E$14-$G112/Assumptions!$E$8)*(Q$4-2019)/6)*INDEX(Assumptions!$E$5:$E$14,MATCH(Q$4,Assumptions!$A$5:$A$14,0))</f>
        <v>20078942.367641948</v>
      </c>
      <c r="R112" s="18">
        <f>($G112/Assumptions!$E$8+($H112/Assumptions!$E$14-$G112/Assumptions!$E$8)*(R$4-2019)/6)*INDEX(Assumptions!$E$5:$E$14,MATCH(R$4,Assumptions!$A$5:$A$14,0))</f>
        <v>20813552.852658745</v>
      </c>
      <c r="S112" s="18">
        <f>($G112/Assumptions!$E$8+($H112/Assumptions!$E$14-$G112/Assumptions!$E$8)*(S$4-2019)/6)*INDEX(Assumptions!$E$5:$E$14,MATCH(S$4,Assumptions!$A$5:$A$14,0))</f>
        <v>20675154.153350215</v>
      </c>
      <c r="T112" s="18">
        <f>($G112/Assumptions!$E$8+($H112/Assumptions!$E$14-$G112/Assumptions!$E$8)*(T$4-2019)/6)*INDEX(Assumptions!$E$5:$E$14,MATCH(T$4,Assumptions!$A$5:$A$14,0))</f>
        <v>20851192</v>
      </c>
    </row>
    <row r="113" spans="1:20">
      <c r="A113" s="3" t="s">
        <v>203</v>
      </c>
      <c r="B113" s="3" t="s">
        <v>190</v>
      </c>
      <c r="C113" s="14">
        <v>2302131</v>
      </c>
      <c r="D113" s="14">
        <v>3354858</v>
      </c>
      <c r="E113" s="14">
        <v>1091616</v>
      </c>
      <c r="F113" s="14">
        <v>1265056</v>
      </c>
      <c r="G113" s="15">
        <f>C113+E113</f>
        <v>3393747</v>
      </c>
      <c r="H113" s="15">
        <f>D113+F113</f>
        <v>4619914</v>
      </c>
      <c r="I113" s="10">
        <f>IFERROR((D113/C113)^(1/6)-1,0)</f>
        <v>6.4773788554375322E-2</v>
      </c>
      <c r="J113" s="10">
        <f>IFERROR((H113/G113)^(1/6)-1,0)</f>
        <v>5.2751182786442419E-2</v>
      </c>
      <c r="K113" s="15">
        <f>($G113/Assumptions!$E$8+($H113/Assumptions!$E$14-$G113/Assumptions!$E$8)*(K$4-2019)/6)*INDEX(Assumptions!$E$5:$E$14,MATCH(K$4,Assumptions!$A$5:$A$14,0))</f>
        <v>3086348.4948199531</v>
      </c>
      <c r="L113" s="15">
        <f>($G113/Assumptions!$E$8+($H113/Assumptions!$E$14-$G113/Assumptions!$E$8)*(L$4-2019)/6)*INDEX(Assumptions!$E$5:$E$14,MATCH(L$4,Assumptions!$A$5:$A$14,0))</f>
        <v>3163459.0191864772</v>
      </c>
      <c r="M113" s="15">
        <f>($G113/Assumptions!$E$8+($H113/Assumptions!$E$14-$G113/Assumptions!$E$8)*(M$4-2019)/6)*INDEX(Assumptions!$E$5:$E$14,MATCH(M$4,Assumptions!$A$5:$A$14,0))</f>
        <v>3252367.1223541358</v>
      </c>
      <c r="N113" s="15">
        <f>($G113/Assumptions!$E$8+($H113/Assumptions!$E$14-$G113/Assumptions!$E$8)*(N$4-2019)/6)*INDEX(Assumptions!$E$5:$E$14,MATCH(N$4,Assumptions!$A$5:$A$14,0))</f>
        <v>3393747</v>
      </c>
      <c r="O113" s="15">
        <f>($G113/Assumptions!$E$8+($H113/Assumptions!$E$14-$G113/Assumptions!$E$8)*(O$4-2019)/6)*INDEX(Assumptions!$E$5:$E$14,MATCH(O$4,Assumptions!$A$5:$A$14,0))</f>
        <v>3580491.4826180139</v>
      </c>
      <c r="P113" s="15">
        <f>($G113/Assumptions!$E$8+($H113/Assumptions!$E$14-$G113/Assumptions!$E$8)*(P$4-2019)/6)*INDEX(Assumptions!$E$5:$E$14,MATCH(P$4,Assumptions!$A$5:$A$14,0))</f>
        <v>3906080.0029633478</v>
      </c>
      <c r="Q113" s="15">
        <f>($G113/Assumptions!$E$8+($H113/Assumptions!$E$14-$G113/Assumptions!$E$8)*(Q$4-2019)/6)*INDEX(Assumptions!$E$5:$E$14,MATCH(Q$4,Assumptions!$A$5:$A$14,0))</f>
        <v>4413018.2276373524</v>
      </c>
      <c r="R113" s="15">
        <f>($G113/Assumptions!$E$8+($H113/Assumptions!$E$14-$G113/Assumptions!$E$8)*(R$4-2019)/6)*INDEX(Assumptions!$E$5:$E$14,MATCH(R$4,Assumptions!$A$5:$A$14,0))</f>
        <v>4586862.5473387884</v>
      </c>
      <c r="S113" s="15">
        <f>($G113/Assumptions!$E$8+($H113/Assumptions!$E$14-$G113/Assumptions!$E$8)*(S$4-2019)/6)*INDEX(Assumptions!$E$5:$E$14,MATCH(S$4,Assumptions!$A$5:$A$14,0))</f>
        <v>4568647.1858912213</v>
      </c>
      <c r="T113" s="15">
        <f>($G113/Assumptions!$E$8+($H113/Assumptions!$E$14-$G113/Assumptions!$E$8)*(T$4-2019)/6)*INDEX(Assumptions!$E$5:$E$14,MATCH(T$4,Assumptions!$A$5:$A$14,0))</f>
        <v>4619914</v>
      </c>
    </row>
    <row r="114" spans="1:20">
      <c r="A114" s="16" t="s">
        <v>204</v>
      </c>
      <c r="B114" s="16" t="s">
        <v>190</v>
      </c>
      <c r="C114" s="17">
        <v>15825035</v>
      </c>
      <c r="D114" s="17">
        <v>23608084</v>
      </c>
      <c r="E114" s="17">
        <v>19938724</v>
      </c>
      <c r="F114" s="17">
        <v>22760466</v>
      </c>
      <c r="G114" s="18">
        <f>C114+E114</f>
        <v>35763759</v>
      </c>
      <c r="H114" s="18">
        <f>D114+F114</f>
        <v>46368550</v>
      </c>
      <c r="I114" s="19">
        <f>IFERROR((D114/C114)^(1/6)-1,0)</f>
        <v>6.8938395977624412E-2</v>
      </c>
      <c r="J114" s="19">
        <f>IFERROR((H114/G114)^(1/6)-1,0)</f>
        <v>4.4231346223308599E-2</v>
      </c>
      <c r="K114" s="18">
        <f>($G114/Assumptions!$E$8+($H114/Assumptions!$E$14-$G114/Assumptions!$E$8)*(K$4-2019)/6)*INDEX(Assumptions!$E$5:$E$14,MATCH(K$4,Assumptions!$A$5:$A$14,0))</f>
        <v>33323867.540980503</v>
      </c>
      <c r="L114" s="18">
        <f>($G114/Assumptions!$E$8+($H114/Assumptions!$E$14-$G114/Assumptions!$E$8)*(L$4-2019)/6)*INDEX(Assumptions!$E$5:$E$14,MATCH(L$4,Assumptions!$A$5:$A$14,0))</f>
        <v>33881274.318902887</v>
      </c>
      <c r="M114" s="18">
        <f>($G114/Assumptions!$E$8+($H114/Assumptions!$E$14-$G114/Assumptions!$E$8)*(M$4-2019)/6)*INDEX(Assumptions!$E$5:$E$14,MATCH(M$4,Assumptions!$A$5:$A$14,0))</f>
        <v>34552664.650733568</v>
      </c>
      <c r="N114" s="18">
        <f>($G114/Assumptions!$E$8+($H114/Assumptions!$E$14-$G114/Assumptions!$E$8)*(N$4-2019)/6)*INDEX(Assumptions!$E$5:$E$14,MATCH(N$4,Assumptions!$A$5:$A$14,0))</f>
        <v>35763759</v>
      </c>
      <c r="O114" s="18">
        <f>($G114/Assumptions!$E$8+($H114/Assumptions!$E$14-$G114/Assumptions!$E$8)*(O$4-2019)/6)*INDEX(Assumptions!$E$5:$E$14,MATCH(O$4,Assumptions!$A$5:$A$14,0))</f>
        <v>37427014.95548296</v>
      </c>
      <c r="P114" s="18">
        <f>($G114/Assumptions!$E$8+($H114/Assumptions!$E$14-$G114/Assumptions!$E$8)*(P$4-2019)/6)*INDEX(Assumptions!$E$5:$E$14,MATCH(P$4,Assumptions!$A$5:$A$14,0))</f>
        <v>40500421.691641212</v>
      </c>
      <c r="Q114" s="18">
        <f>($G114/Assumptions!$E$8+($H114/Assumptions!$E$14-$G114/Assumptions!$E$8)*(Q$4-2019)/6)*INDEX(Assumptions!$E$5:$E$14,MATCH(Q$4,Assumptions!$A$5:$A$14,0))</f>
        <v>45386520.945708208</v>
      </c>
      <c r="R114" s="18">
        <f>($G114/Assumptions!$E$8+($H114/Assumptions!$E$14-$G114/Assumptions!$E$8)*(R$4-2019)/6)*INDEX(Assumptions!$E$5:$E$14,MATCH(R$4,Assumptions!$A$5:$A$14,0))</f>
        <v>46792520.066555873</v>
      </c>
      <c r="S114" s="18">
        <f>($G114/Assumptions!$E$8+($H114/Assumptions!$E$14-$G114/Assumptions!$E$8)*(S$4-2019)/6)*INDEX(Assumptions!$E$5:$E$14,MATCH(S$4,Assumptions!$A$5:$A$14,0))</f>
        <v>46229002.368012629</v>
      </c>
      <c r="T114" s="18">
        <f>($G114/Assumptions!$E$8+($H114/Assumptions!$E$14-$G114/Assumptions!$E$8)*(T$4-2019)/6)*INDEX(Assumptions!$E$5:$E$14,MATCH(T$4,Assumptions!$A$5:$A$14,0))</f>
        <v>46368550</v>
      </c>
    </row>
    <row r="115" spans="1:20">
      <c r="A115" s="3" t="s">
        <v>205</v>
      </c>
      <c r="B115" s="3" t="s">
        <v>190</v>
      </c>
      <c r="C115" s="14">
        <v>14179556</v>
      </c>
      <c r="D115" s="14">
        <v>18792426</v>
      </c>
      <c r="E115" s="14">
        <v>5655519</v>
      </c>
      <c r="F115" s="14">
        <v>7803260</v>
      </c>
      <c r="G115" s="15">
        <f>C115+E115</f>
        <v>19835075</v>
      </c>
      <c r="H115" s="15">
        <f>D115+F115</f>
        <v>26595686</v>
      </c>
      <c r="I115" s="10">
        <f>IFERROR((D115/C115)^(1/6)-1,0)</f>
        <v>4.8061343334816486E-2</v>
      </c>
      <c r="J115" s="10">
        <f>IFERROR((H115/G115)^(1/6)-1,0)</f>
        <v>5.0097339863969692E-2</v>
      </c>
      <c r="K115" s="15">
        <f>($G115/Assumptions!$E$8+($H115/Assumptions!$E$14-$G115/Assumptions!$E$8)*(K$4-2019)/6)*INDEX(Assumptions!$E$5:$E$14,MATCH(K$4,Assumptions!$A$5:$A$14,0))</f>
        <v>18178512.633119646</v>
      </c>
      <c r="L115" s="15">
        <f>($G115/Assumptions!$E$8+($H115/Assumptions!$E$14-$G115/Assumptions!$E$8)*(L$4-2019)/6)*INDEX(Assumptions!$E$5:$E$14,MATCH(L$4,Assumptions!$A$5:$A$14,0))</f>
        <v>18584488.029679347</v>
      </c>
      <c r="M115" s="15">
        <f>($G115/Assumptions!$E$8+($H115/Assumptions!$E$14-$G115/Assumptions!$E$8)*(M$4-2019)/6)*INDEX(Assumptions!$E$5:$E$14,MATCH(M$4,Assumptions!$A$5:$A$14,0))</f>
        <v>19057603.99351678</v>
      </c>
      <c r="N115" s="15">
        <f>($G115/Assumptions!$E$8+($H115/Assumptions!$E$14-$G115/Assumptions!$E$8)*(N$4-2019)/6)*INDEX(Assumptions!$E$5:$E$14,MATCH(N$4,Assumptions!$A$5:$A$14,0))</f>
        <v>19835075</v>
      </c>
      <c r="O115" s="15">
        <f>($G115/Assumptions!$E$8+($H115/Assumptions!$E$14-$G115/Assumptions!$E$8)*(O$4-2019)/6)*INDEX(Assumptions!$E$5:$E$14,MATCH(O$4,Assumptions!$A$5:$A$14,0))</f>
        <v>20873147.208370179</v>
      </c>
      <c r="P115" s="15">
        <f>($G115/Assumptions!$E$8+($H115/Assumptions!$E$14-$G115/Assumptions!$E$8)*(P$4-2019)/6)*INDEX(Assumptions!$E$5:$E$14,MATCH(P$4,Assumptions!$A$5:$A$14,0))</f>
        <v>22713421.002618302</v>
      </c>
      <c r="Q115" s="15">
        <f>($G115/Assumptions!$E$8+($H115/Assumptions!$E$14-$G115/Assumptions!$E$8)*(Q$4-2019)/6)*INDEX(Assumptions!$E$5:$E$14,MATCH(Q$4,Assumptions!$A$5:$A$14,0))</f>
        <v>25596373.685489509</v>
      </c>
      <c r="R115" s="15">
        <f>($G115/Assumptions!$E$8+($H115/Assumptions!$E$14-$G115/Assumptions!$E$8)*(R$4-2019)/6)*INDEX(Assumptions!$E$5:$E$14,MATCH(R$4,Assumptions!$A$5:$A$14,0))</f>
        <v>26537798.300641123</v>
      </c>
      <c r="S115" s="15">
        <f>($G115/Assumptions!$E$8+($H115/Assumptions!$E$14-$G115/Assumptions!$E$8)*(S$4-2019)/6)*INDEX(Assumptions!$E$5:$E$14,MATCH(S$4,Assumptions!$A$5:$A$14,0))</f>
        <v>26366247.543012768</v>
      </c>
      <c r="T115" s="15">
        <f>($G115/Assumptions!$E$8+($H115/Assumptions!$E$14-$G115/Assumptions!$E$8)*(T$4-2019)/6)*INDEX(Assumptions!$E$5:$E$14,MATCH(T$4,Assumptions!$A$5:$A$14,0))</f>
        <v>26595686</v>
      </c>
    </row>
    <row r="116" spans="1:20">
      <c r="A116" s="16" t="s">
        <v>206</v>
      </c>
      <c r="B116" s="16" t="s">
        <v>190</v>
      </c>
      <c r="C116" s="17">
        <v>2065465</v>
      </c>
      <c r="D116" s="17">
        <v>2814259</v>
      </c>
      <c r="E116" s="17">
        <v>3841870</v>
      </c>
      <c r="F116" s="17">
        <v>4426259</v>
      </c>
      <c r="G116" s="18">
        <f>C116+E116</f>
        <v>5907335</v>
      </c>
      <c r="H116" s="18">
        <f>D116+F116</f>
        <v>7240518</v>
      </c>
      <c r="I116" s="19">
        <f>IFERROR((D116/C116)^(1/6)-1,0)</f>
        <v>5.2909483216938114E-2</v>
      </c>
      <c r="J116" s="19">
        <f>IFERROR((H116/G116)^(1/6)-1,0)</f>
        <v>3.4498041777262456E-2</v>
      </c>
      <c r="K116" s="18">
        <f>($G116/Assumptions!$E$8+($H116/Assumptions!$E$14-$G116/Assumptions!$E$8)*(K$4-2019)/6)*INDEX(Assumptions!$E$5:$E$14,MATCH(K$4,Assumptions!$A$5:$A$14,0))</f>
        <v>5648742.2125541987</v>
      </c>
      <c r="L116" s="18">
        <f>($G116/Assumptions!$E$8+($H116/Assumptions!$E$14-$G116/Assumptions!$E$8)*(L$4-2019)/6)*INDEX(Assumptions!$E$5:$E$14,MATCH(L$4,Assumptions!$A$5:$A$14,0))</f>
        <v>5694715.8341902187</v>
      </c>
      <c r="M116" s="18">
        <f>($G116/Assumptions!$E$8+($H116/Assumptions!$E$14-$G116/Assumptions!$E$8)*(M$4-2019)/6)*INDEX(Assumptions!$E$5:$E$14,MATCH(M$4,Assumptions!$A$5:$A$14,0))</f>
        <v>5757648.9421845544</v>
      </c>
      <c r="N116" s="18">
        <f>($G116/Assumptions!$E$8+($H116/Assumptions!$E$14-$G116/Assumptions!$E$8)*(N$4-2019)/6)*INDEX(Assumptions!$E$5:$E$14,MATCH(N$4,Assumptions!$A$5:$A$14,0))</f>
        <v>5907335</v>
      </c>
      <c r="O116" s="18">
        <f>($G116/Assumptions!$E$8+($H116/Assumptions!$E$14-$G116/Assumptions!$E$8)*(O$4-2019)/6)*INDEX(Assumptions!$E$5:$E$14,MATCH(O$4,Assumptions!$A$5:$A$14,0))</f>
        <v>6127029.7269504908</v>
      </c>
      <c r="P116" s="18">
        <f>($G116/Assumptions!$E$8+($H116/Assumptions!$E$14-$G116/Assumptions!$E$8)*(P$4-2019)/6)*INDEX(Assumptions!$E$5:$E$14,MATCH(P$4,Assumptions!$A$5:$A$14,0))</f>
        <v>6570073.5605743155</v>
      </c>
      <c r="Q116" s="18">
        <f>($G116/Assumptions!$E$8+($H116/Assumptions!$E$14-$G116/Assumptions!$E$8)*(Q$4-2019)/6)*INDEX(Assumptions!$E$5:$E$14,MATCH(Q$4,Assumptions!$A$5:$A$14,0))</f>
        <v>7294758.2007960146</v>
      </c>
      <c r="R116" s="18">
        <f>($G116/Assumptions!$E$8+($H116/Assumptions!$E$14-$G116/Assumptions!$E$8)*(R$4-2019)/6)*INDEX(Assumptions!$E$5:$E$14,MATCH(R$4,Assumptions!$A$5:$A$14,0))</f>
        <v>7450046.7607515343</v>
      </c>
      <c r="S116" s="18">
        <f>($G116/Assumptions!$E$8+($H116/Assumptions!$E$14-$G116/Assumptions!$E$8)*(S$4-2019)/6)*INDEX(Assumptions!$E$5:$E$14,MATCH(S$4,Assumptions!$A$5:$A$14,0))</f>
        <v>7289849.9100120664</v>
      </c>
      <c r="T116" s="18">
        <f>($G116/Assumptions!$E$8+($H116/Assumptions!$E$14-$G116/Assumptions!$E$8)*(T$4-2019)/6)*INDEX(Assumptions!$E$5:$E$14,MATCH(T$4,Assumptions!$A$5:$A$14,0))</f>
        <v>7240517.9999999991</v>
      </c>
    </row>
    <row r="117" spans="1:20">
      <c r="A117" s="3" t="s">
        <v>207</v>
      </c>
      <c r="B117" s="3" t="s">
        <v>190</v>
      </c>
      <c r="C117" s="14">
        <v>1144316</v>
      </c>
      <c r="D117" s="14">
        <v>1408157</v>
      </c>
      <c r="E117" s="14">
        <v>593944</v>
      </c>
      <c r="F117" s="14">
        <v>700145</v>
      </c>
      <c r="G117" s="15">
        <f>C117+E117</f>
        <v>1738260</v>
      </c>
      <c r="H117" s="15">
        <f>D117+F117</f>
        <v>2108302</v>
      </c>
      <c r="I117" s="10">
        <f>IFERROR((D117/C117)^(1/6)-1,0)</f>
        <v>3.5183921747550029E-2</v>
      </c>
      <c r="J117" s="10">
        <f>IFERROR((H117/G117)^(1/6)-1,0)</f>
        <v>3.2689308359196145E-2</v>
      </c>
      <c r="K117" s="15">
        <f>($G117/Assumptions!$E$8+($H117/Assumptions!$E$14-$G117/Assumptions!$E$8)*(K$4-2019)/6)*INDEX(Assumptions!$E$5:$E$14,MATCH(K$4,Assumptions!$A$5:$A$14,0))</f>
        <v>1669847.5974455895</v>
      </c>
      <c r="L117" s="15">
        <f>($G117/Assumptions!$E$8+($H117/Assumptions!$E$14-$G117/Assumptions!$E$8)*(L$4-2019)/6)*INDEX(Assumptions!$E$5:$E$14,MATCH(L$4,Assumptions!$A$5:$A$14,0))</f>
        <v>1680924.2906606835</v>
      </c>
      <c r="M117" s="15">
        <f>($G117/Assumptions!$E$8+($H117/Assumptions!$E$14-$G117/Assumptions!$E$8)*(M$4-2019)/6)*INDEX(Assumptions!$E$5:$E$14,MATCH(M$4,Assumptions!$A$5:$A$14,0))</f>
        <v>1696892.0603735473</v>
      </c>
      <c r="N117" s="15">
        <f>($G117/Assumptions!$E$8+($H117/Assumptions!$E$14-$G117/Assumptions!$E$8)*(N$4-2019)/6)*INDEX(Assumptions!$E$5:$E$14,MATCH(N$4,Assumptions!$A$5:$A$14,0))</f>
        <v>1738260</v>
      </c>
      <c r="O117" s="15">
        <f>($G117/Assumptions!$E$8+($H117/Assumptions!$E$14-$G117/Assumptions!$E$8)*(O$4-2019)/6)*INDEX(Assumptions!$E$5:$E$14,MATCH(O$4,Assumptions!$A$5:$A$14,0))</f>
        <v>1799979.5578951929</v>
      </c>
      <c r="P117" s="15">
        <f>($G117/Assumptions!$E$8+($H117/Assumptions!$E$14-$G117/Assumptions!$E$8)*(P$4-2019)/6)*INDEX(Assumptions!$E$5:$E$14,MATCH(P$4,Assumptions!$A$5:$A$14,0))</f>
        <v>1926911.4509465324</v>
      </c>
      <c r="Q117" s="15">
        <f>($G117/Assumptions!$E$8+($H117/Assumptions!$E$14-$G117/Assumptions!$E$8)*(Q$4-2019)/6)*INDEX(Assumptions!$E$5:$E$14,MATCH(Q$4,Assumptions!$A$5:$A$14,0))</f>
        <v>2135772.2971539008</v>
      </c>
      <c r="R117" s="15">
        <f>($G117/Assumptions!$E$8+($H117/Assumptions!$E$14-$G117/Assumptions!$E$8)*(R$4-2019)/6)*INDEX(Assumptions!$E$5:$E$14,MATCH(R$4,Assumptions!$A$5:$A$14,0))</f>
        <v>2177374.7830608948</v>
      </c>
      <c r="S117" s="15">
        <f>($G117/Assumptions!$E$8+($H117/Assumptions!$E$14-$G117/Assumptions!$E$8)*(S$4-2019)/6)*INDEX(Assumptions!$E$5:$E$14,MATCH(S$4,Assumptions!$A$5:$A$14,0))</f>
        <v>2126667.1222105133</v>
      </c>
      <c r="T117" s="15">
        <f>($G117/Assumptions!$E$8+($H117/Assumptions!$E$14-$G117/Assumptions!$E$8)*(T$4-2019)/6)*INDEX(Assumptions!$E$5:$E$14,MATCH(T$4,Assumptions!$A$5:$A$14,0))</f>
        <v>2108302</v>
      </c>
    </row>
    <row r="118" spans="1:20">
      <c r="A118" s="16" t="s">
        <v>208</v>
      </c>
      <c r="B118" s="16" t="s">
        <v>190</v>
      </c>
      <c r="C118" s="17">
        <v>15922001</v>
      </c>
      <c r="D118" s="17">
        <v>22322227</v>
      </c>
      <c r="E118" s="17">
        <v>9949373</v>
      </c>
      <c r="F118" s="17">
        <v>11537046</v>
      </c>
      <c r="G118" s="18">
        <f>C118+E118</f>
        <v>25871374</v>
      </c>
      <c r="H118" s="18">
        <f>D118+F118</f>
        <v>33859273</v>
      </c>
      <c r="I118" s="19">
        <f>IFERROR((D118/C118)^(1/6)-1,0)</f>
        <v>5.7929300530528804E-2</v>
      </c>
      <c r="J118" s="19">
        <f>IFERROR((H118/G118)^(1/6)-1,0)</f>
        <v>4.5866749021967301E-2</v>
      </c>
      <c r="K118" s="18">
        <f>($G118/Assumptions!$E$8+($H118/Assumptions!$E$14-$G118/Assumptions!$E$8)*(K$4-2019)/6)*INDEX(Assumptions!$E$5:$E$14,MATCH(K$4,Assumptions!$A$5:$A$14,0))</f>
        <v>23997162.802783076</v>
      </c>
      <c r="L118" s="18">
        <f>($G118/Assumptions!$E$8+($H118/Assumptions!$E$14-$G118/Assumptions!$E$8)*(L$4-2019)/6)*INDEX(Assumptions!$E$5:$E$14,MATCH(L$4,Assumptions!$A$5:$A$14,0))</f>
        <v>24435244.801257424</v>
      </c>
      <c r="M118" s="18">
        <f>($G118/Assumptions!$E$8+($H118/Assumptions!$E$14-$G118/Assumptions!$E$8)*(M$4-2019)/6)*INDEX(Assumptions!$E$5:$E$14,MATCH(M$4,Assumptions!$A$5:$A$14,0))</f>
        <v>24957194.51340137</v>
      </c>
      <c r="N118" s="18">
        <f>($G118/Assumptions!$E$8+($H118/Assumptions!$E$14-$G118/Assumptions!$E$8)*(N$4-2019)/6)*INDEX(Assumptions!$E$5:$E$14,MATCH(N$4,Assumptions!$A$5:$A$14,0))</f>
        <v>25871374</v>
      </c>
      <c r="O118" s="18">
        <f>($G118/Assumptions!$E$8+($H118/Assumptions!$E$14-$G118/Assumptions!$E$8)*(O$4-2019)/6)*INDEX(Assumptions!$E$5:$E$14,MATCH(O$4,Assumptions!$A$5:$A$14,0))</f>
        <v>27116182.6783618</v>
      </c>
      <c r="P118" s="18">
        <f>($G118/Assumptions!$E$8+($H118/Assumptions!$E$14-$G118/Assumptions!$E$8)*(P$4-2019)/6)*INDEX(Assumptions!$E$5:$E$14,MATCH(P$4,Assumptions!$A$5:$A$14,0))</f>
        <v>29388329.241525602</v>
      </c>
      <c r="Q118" s="18">
        <f>($G118/Assumptions!$E$8+($H118/Assumptions!$E$14-$G118/Assumptions!$E$8)*(Q$4-2019)/6)*INDEX(Assumptions!$E$5:$E$14,MATCH(Q$4,Assumptions!$A$5:$A$14,0))</f>
        <v>32985210.380336341</v>
      </c>
      <c r="R118" s="18">
        <f>($G118/Assumptions!$E$8+($H118/Assumptions!$E$14-$G118/Assumptions!$E$8)*(R$4-2019)/6)*INDEX(Assumptions!$E$5:$E$14,MATCH(R$4,Assumptions!$A$5:$A$14,0))</f>
        <v>34060490.074533179</v>
      </c>
      <c r="S118" s="18">
        <f>($G118/Assumptions!$E$8+($H118/Assumptions!$E$14-$G118/Assumptions!$E$8)*(S$4-2019)/6)*INDEX(Assumptions!$E$5:$E$14,MATCH(S$4,Assumptions!$A$5:$A$14,0))</f>
        <v>33703593.534480155</v>
      </c>
      <c r="T118" s="18">
        <f>($G118/Assumptions!$E$8+($H118/Assumptions!$E$14-$G118/Assumptions!$E$8)*(T$4-2019)/6)*INDEX(Assumptions!$E$5:$E$14,MATCH(T$4,Assumptions!$A$5:$A$14,0))</f>
        <v>33859273</v>
      </c>
    </row>
    <row r="119" spans="1:20">
      <c r="A119" s="3" t="s">
        <v>209</v>
      </c>
      <c r="B119" s="3" t="s">
        <v>190</v>
      </c>
      <c r="C119" s="14">
        <v>7545198</v>
      </c>
      <c r="D119" s="14">
        <v>14659039</v>
      </c>
      <c r="E119" s="14">
        <v>7182803</v>
      </c>
      <c r="F119" s="14">
        <v>8774831</v>
      </c>
      <c r="G119" s="15">
        <f>C119+E119</f>
        <v>14728001</v>
      </c>
      <c r="H119" s="15">
        <f>D119+F119</f>
        <v>23433870</v>
      </c>
      <c r="I119" s="10">
        <f>IFERROR((D119/C119)^(1/6)-1,0)</f>
        <v>0.11704964930406803</v>
      </c>
      <c r="J119" s="10">
        <f>IFERROR((H119/G119)^(1/6)-1,0)</f>
        <v>8.0479924157592642E-2</v>
      </c>
      <c r="K119" s="15">
        <f>($G119/Assumptions!$E$8+($H119/Assumptions!$E$14-$G119/Assumptions!$E$8)*(K$4-2019)/6)*INDEX(Assumptions!$E$5:$E$14,MATCH(K$4,Assumptions!$A$5:$A$14,0))</f>
        <v>12225917.162323039</v>
      </c>
      <c r="L119" s="15">
        <f>($G119/Assumptions!$E$8+($H119/Assumptions!$E$14-$G119/Assumptions!$E$8)*(L$4-2019)/6)*INDEX(Assumptions!$E$5:$E$14,MATCH(L$4,Assumptions!$A$5:$A$14,0))</f>
        <v>12933383.53977886</v>
      </c>
      <c r="M119" s="15">
        <f>($G119/Assumptions!$E$8+($H119/Assumptions!$E$14-$G119/Assumptions!$E$8)*(M$4-2019)/6)*INDEX(Assumptions!$E$5:$E$14,MATCH(M$4,Assumptions!$A$5:$A$14,0))</f>
        <v>13707155.974490153</v>
      </c>
      <c r="N119" s="15">
        <f>($G119/Assumptions!$E$8+($H119/Assumptions!$E$14-$G119/Assumptions!$E$8)*(N$4-2019)/6)*INDEX(Assumptions!$E$5:$E$14,MATCH(N$4,Assumptions!$A$5:$A$14,0))</f>
        <v>14728001</v>
      </c>
      <c r="O119" s="15">
        <f>($G119/Assumptions!$E$8+($H119/Assumptions!$E$14-$G119/Assumptions!$E$8)*(O$4-2019)/6)*INDEX(Assumptions!$E$5:$E$14,MATCH(O$4,Assumptions!$A$5:$A$14,0))</f>
        <v>15983550.651276521</v>
      </c>
      <c r="P119" s="15">
        <f>($G119/Assumptions!$E$8+($H119/Assumptions!$E$14-$G119/Assumptions!$E$8)*(P$4-2019)/6)*INDEX(Assumptions!$E$5:$E$14,MATCH(P$4,Assumptions!$A$5:$A$14,0))</f>
        <v>17919087.703641858</v>
      </c>
      <c r="Q119" s="15">
        <f>($G119/Assumptions!$E$8+($H119/Assumptions!$E$14-$G119/Assumptions!$E$8)*(Q$4-2019)/6)*INDEX(Assumptions!$E$5:$E$14,MATCH(Q$4,Assumptions!$A$5:$A$14,0))</f>
        <v>20785386.565483268</v>
      </c>
      <c r="R119" s="15">
        <f>($G119/Assumptions!$E$8+($H119/Assumptions!$E$14-$G119/Assumptions!$E$8)*(R$4-2019)/6)*INDEX(Assumptions!$E$5:$E$14,MATCH(R$4,Assumptions!$A$5:$A$14,0))</f>
        <v>22162185.420799159</v>
      </c>
      <c r="S119" s="15">
        <f>($G119/Assumptions!$E$8+($H119/Assumptions!$E$14-$G119/Assumptions!$E$8)*(S$4-2019)/6)*INDEX(Assumptions!$E$5:$E$14,MATCH(S$4,Assumptions!$A$5:$A$14,0))</f>
        <v>22625968.951149751</v>
      </c>
      <c r="T119" s="15">
        <f>($G119/Assumptions!$E$8+($H119/Assumptions!$E$14-$G119/Assumptions!$E$8)*(T$4-2019)/6)*INDEX(Assumptions!$E$5:$E$14,MATCH(T$4,Assumptions!$A$5:$A$14,0))</f>
        <v>23433870</v>
      </c>
    </row>
    <row r="120" spans="1:20">
      <c r="A120" s="16" t="s">
        <v>210</v>
      </c>
      <c r="B120" s="16" t="s">
        <v>190</v>
      </c>
      <c r="C120" s="17">
        <v>2205329</v>
      </c>
      <c r="D120" s="17">
        <v>2652571</v>
      </c>
      <c r="E120" s="17">
        <v>2941980</v>
      </c>
      <c r="F120" s="17">
        <v>3642672</v>
      </c>
      <c r="G120" s="18">
        <f>C120+E120</f>
        <v>5147309</v>
      </c>
      <c r="H120" s="18">
        <f>D120+F120</f>
        <v>6295243</v>
      </c>
      <c r="I120" s="19">
        <f>IFERROR((D120/C120)^(1/6)-1,0)</f>
        <v>3.1253901953187668E-2</v>
      </c>
      <c r="J120" s="19">
        <f>IFERROR((H120/G120)^(1/6)-1,0)</f>
        <v>3.4122632512564532E-2</v>
      </c>
      <c r="K120" s="18">
        <f>($G120/Assumptions!$E$8+($H120/Assumptions!$E$14-$G120/Assumptions!$E$8)*(K$4-2019)/6)*INDEX(Assumptions!$E$5:$E$14,MATCH(K$4,Assumptions!$A$5:$A$14,0))</f>
        <v>4926722.5979683669</v>
      </c>
      <c r="L120" s="18">
        <f>($G120/Assumptions!$E$8+($H120/Assumptions!$E$14-$G120/Assumptions!$E$8)*(L$4-2019)/6)*INDEX(Assumptions!$E$5:$E$14,MATCH(L$4,Assumptions!$A$5:$A$14,0))</f>
        <v>4965269.5666071391</v>
      </c>
      <c r="M120" s="18">
        <f>($G120/Assumptions!$E$8+($H120/Assumptions!$E$14-$G120/Assumptions!$E$8)*(M$4-2019)/6)*INDEX(Assumptions!$E$5:$E$14,MATCH(M$4,Assumptions!$A$5:$A$14,0))</f>
        <v>5018532.7879057126</v>
      </c>
      <c r="N120" s="18">
        <f>($G120/Assumptions!$E$8+($H120/Assumptions!$E$14-$G120/Assumptions!$E$8)*(N$4-2019)/6)*INDEX(Assumptions!$E$5:$E$14,MATCH(N$4,Assumptions!$A$5:$A$14,0))</f>
        <v>5147309</v>
      </c>
      <c r="O120" s="18">
        <f>($G120/Assumptions!$E$8+($H120/Assumptions!$E$14-$G120/Assumptions!$E$8)*(O$4-2019)/6)*INDEX(Assumptions!$E$5:$E$14,MATCH(O$4,Assumptions!$A$5:$A$14,0))</f>
        <v>5336933.2922071163</v>
      </c>
      <c r="P120" s="18">
        <f>($G120/Assumptions!$E$8+($H120/Assumptions!$E$14-$G120/Assumptions!$E$8)*(P$4-2019)/6)*INDEX(Assumptions!$E$5:$E$14,MATCH(P$4,Assumptions!$A$5:$A$14,0))</f>
        <v>5720857.0277439151</v>
      </c>
      <c r="Q120" s="18">
        <f>($G120/Assumptions!$E$8+($H120/Assumptions!$E$14-$G120/Assumptions!$E$8)*(Q$4-2019)/6)*INDEX(Assumptions!$E$5:$E$14,MATCH(Q$4,Assumptions!$A$5:$A$14,0))</f>
        <v>6349603.3283750666</v>
      </c>
      <c r="R120" s="18">
        <f>($G120/Assumptions!$E$8+($H120/Assumptions!$E$14-$G120/Assumptions!$E$8)*(R$4-2019)/6)*INDEX(Assumptions!$E$5:$E$14,MATCH(R$4,Assumptions!$A$5:$A$14,0))</f>
        <v>6482389.1603157083</v>
      </c>
      <c r="S120" s="18">
        <f>($G120/Assumptions!$E$8+($H120/Assumptions!$E$14-$G120/Assumptions!$E$8)*(S$4-2019)/6)*INDEX(Assumptions!$E$5:$E$14,MATCH(S$4,Assumptions!$A$5:$A$14,0))</f>
        <v>6340601.7756180866</v>
      </c>
      <c r="T120" s="18">
        <f>($G120/Assumptions!$E$8+($H120/Assumptions!$E$14-$G120/Assumptions!$E$8)*(T$4-2019)/6)*INDEX(Assumptions!$E$5:$E$14,MATCH(T$4,Assumptions!$A$5:$A$14,0))</f>
        <v>6295243</v>
      </c>
    </row>
    <row r="121" spans="1:20">
      <c r="A121" s="3" t="s">
        <v>211</v>
      </c>
      <c r="B121" s="3" t="s">
        <v>190</v>
      </c>
      <c r="C121" s="14">
        <v>2043703</v>
      </c>
      <c r="D121" s="14">
        <v>2647982</v>
      </c>
      <c r="E121" s="14">
        <v>2045353</v>
      </c>
      <c r="F121" s="14">
        <v>2363229</v>
      </c>
      <c r="G121" s="15">
        <f>C121+E121</f>
        <v>4089056</v>
      </c>
      <c r="H121" s="15">
        <f>D121+F121</f>
        <v>5011211</v>
      </c>
      <c r="I121" s="10">
        <f>IFERROR((D121/C121)^(1/6)-1,0)</f>
        <v>4.4117899530021099E-2</v>
      </c>
      <c r="J121" s="10">
        <f>IFERROR((H121/G121)^(1/6)-1,0)</f>
        <v>3.4474854484000561E-2</v>
      </c>
      <c r="K121" s="15">
        <f>($G121/Assumptions!$E$8+($H121/Assumptions!$E$14-$G121/Assumptions!$E$8)*(K$4-2019)/6)*INDEX(Assumptions!$E$5:$E$14,MATCH(K$4,Assumptions!$A$5:$A$14,0))</f>
        <v>3910290.7244028812</v>
      </c>
      <c r="L121" s="15">
        <f>($G121/Assumptions!$E$8+($H121/Assumptions!$E$14-$G121/Assumptions!$E$8)*(L$4-2019)/6)*INDEX(Assumptions!$E$5:$E$14,MATCH(L$4,Assumptions!$A$5:$A$14,0))</f>
        <v>3942039.4139813879</v>
      </c>
      <c r="M121" s="15">
        <f>($G121/Assumptions!$E$8+($H121/Assumptions!$E$14-$G121/Assumptions!$E$8)*(M$4-2019)/6)*INDEX(Assumptions!$E$5:$E$14,MATCH(M$4,Assumptions!$A$5:$A$14,0))</f>
        <v>3985524.4479376408</v>
      </c>
      <c r="N121" s="15">
        <f>($G121/Assumptions!$E$8+($H121/Assumptions!$E$14-$G121/Assumptions!$E$8)*(N$4-2019)/6)*INDEX(Assumptions!$E$5:$E$14,MATCH(N$4,Assumptions!$A$5:$A$14,0))</f>
        <v>4089056</v>
      </c>
      <c r="O121" s="15">
        <f>($G121/Assumptions!$E$8+($H121/Assumptions!$E$14-$G121/Assumptions!$E$8)*(O$4-2019)/6)*INDEX(Assumptions!$E$5:$E$14,MATCH(O$4,Assumptions!$A$5:$A$14,0))</f>
        <v>4241040.0037093852</v>
      </c>
      <c r="P121" s="15">
        <f>($G121/Assumptions!$E$8+($H121/Assumptions!$E$14-$G121/Assumptions!$E$8)*(P$4-2019)/6)*INDEX(Assumptions!$E$5:$E$14,MATCH(P$4,Assumptions!$A$5:$A$14,0))</f>
        <v>4547610.7897854922</v>
      </c>
      <c r="Q121" s="15">
        <f>($G121/Assumptions!$E$8+($H121/Assumptions!$E$14-$G121/Assumptions!$E$8)*(Q$4-2019)/6)*INDEX(Assumptions!$E$5:$E$14,MATCH(Q$4,Assumptions!$A$5:$A$14,0))</f>
        <v>5049104.6557142856</v>
      </c>
      <c r="R121" s="15">
        <f>($G121/Assumptions!$E$8+($H121/Assumptions!$E$14-$G121/Assumptions!$E$8)*(R$4-2019)/6)*INDEX(Assumptions!$E$5:$E$14,MATCH(R$4,Assumptions!$A$5:$A$14,0))</f>
        <v>5156471.4321323996</v>
      </c>
      <c r="S121" s="15">
        <f>($G121/Assumptions!$E$8+($H121/Assumptions!$E$14-$G121/Assumptions!$E$8)*(S$4-2019)/6)*INDEX(Assumptions!$E$5:$E$14,MATCH(S$4,Assumptions!$A$5:$A$14,0))</f>
        <v>5045475.111907525</v>
      </c>
      <c r="T121" s="15">
        <f>($G121/Assumptions!$E$8+($H121/Assumptions!$E$14-$G121/Assumptions!$E$8)*(T$4-2019)/6)*INDEX(Assumptions!$E$5:$E$14,MATCH(T$4,Assumptions!$A$5:$A$14,0))</f>
        <v>5011211</v>
      </c>
    </row>
    <row r="122" spans="1:20">
      <c r="A122" s="16" t="s">
        <v>212</v>
      </c>
      <c r="B122" s="16" t="s">
        <v>190</v>
      </c>
      <c r="C122" s="17">
        <v>25899935</v>
      </c>
      <c r="D122" s="17">
        <v>35674831</v>
      </c>
      <c r="E122" s="17">
        <v>27425841</v>
      </c>
      <c r="F122" s="17">
        <v>32378348</v>
      </c>
      <c r="G122" s="18">
        <f>C122+E122</f>
        <v>53325776</v>
      </c>
      <c r="H122" s="18">
        <f>D122+F122</f>
        <v>68053179</v>
      </c>
      <c r="I122" s="19">
        <f>IFERROR((D122/C122)^(1/6)-1,0)</f>
        <v>5.481721344080559E-2</v>
      </c>
      <c r="J122" s="19">
        <f>IFERROR((H122/G122)^(1/6)-1,0)</f>
        <v>4.1482248967252389E-2</v>
      </c>
      <c r="K122" s="18">
        <f>($G122/Assumptions!$E$8+($H122/Assumptions!$E$14-$G122/Assumptions!$E$8)*(K$4-2019)/6)*INDEX(Assumptions!$E$5:$E$14,MATCH(K$4,Assumptions!$A$5:$A$14,0))</f>
        <v>50062179.217346355</v>
      </c>
      <c r="L122" s="18">
        <f>($G122/Assumptions!$E$8+($H122/Assumptions!$E$14-$G122/Assumptions!$E$8)*(L$4-2019)/6)*INDEX(Assumptions!$E$5:$E$14,MATCH(L$4,Assumptions!$A$5:$A$14,0))</f>
        <v>50773794.79356607</v>
      </c>
      <c r="M122" s="18">
        <f>($G122/Assumptions!$E$8+($H122/Assumptions!$E$14-$G122/Assumptions!$E$8)*(M$4-2019)/6)*INDEX(Assumptions!$E$5:$E$14,MATCH(M$4,Assumptions!$A$5:$A$14,0))</f>
        <v>51650523.538567446</v>
      </c>
      <c r="N122" s="18">
        <f>($G122/Assumptions!$E$8+($H122/Assumptions!$E$14-$G122/Assumptions!$E$8)*(N$4-2019)/6)*INDEX(Assumptions!$E$5:$E$14,MATCH(N$4,Assumptions!$A$5:$A$14,0))</f>
        <v>53325776</v>
      </c>
      <c r="O122" s="18">
        <f>($G122/Assumptions!$E$8+($H122/Assumptions!$E$14-$G122/Assumptions!$E$8)*(O$4-2019)/6)*INDEX(Assumptions!$E$5:$E$14,MATCH(O$4,Assumptions!$A$5:$A$14,0))</f>
        <v>55663099.255722627</v>
      </c>
      <c r="P122" s="18">
        <f>($G122/Assumptions!$E$8+($H122/Assumptions!$E$14-$G122/Assumptions!$E$8)*(P$4-2019)/6)*INDEX(Assumptions!$E$5:$E$14,MATCH(P$4,Assumptions!$A$5:$A$14,0))</f>
        <v>60078213.436828494</v>
      </c>
      <c r="Q122" s="18">
        <f>($G122/Assumptions!$E$8+($H122/Assumptions!$E$14-$G122/Assumptions!$E$8)*(Q$4-2019)/6)*INDEX(Assumptions!$E$5:$E$14,MATCH(Q$4,Assumptions!$A$5:$A$14,0))</f>
        <v>67150075.081982985</v>
      </c>
      <c r="R122" s="18">
        <f>($G122/Assumptions!$E$8+($H122/Assumptions!$E$14-$G122/Assumptions!$E$8)*(R$4-2019)/6)*INDEX(Assumptions!$E$5:$E$14,MATCH(R$4,Assumptions!$A$5:$A$14,0))</f>
        <v>69047002.093195245</v>
      </c>
      <c r="S122" s="18">
        <f>($G122/Assumptions!$E$8+($H122/Assumptions!$E$14-$G122/Assumptions!$E$8)*(S$4-2019)/6)*INDEX(Assumptions!$E$5:$E$14,MATCH(S$4,Assumptions!$A$5:$A$14,0))</f>
        <v>68032760.473186091</v>
      </c>
      <c r="T122" s="18">
        <f>($G122/Assumptions!$E$8+($H122/Assumptions!$E$14-$G122/Assumptions!$E$8)*(T$4-2019)/6)*INDEX(Assumptions!$E$5:$E$14,MATCH(T$4,Assumptions!$A$5:$A$14,0))</f>
        <v>68053179</v>
      </c>
    </row>
    <row r="123" spans="1:20">
      <c r="A123" s="3" t="s">
        <v>213</v>
      </c>
      <c r="B123" s="3" t="s">
        <v>190</v>
      </c>
      <c r="C123" s="14">
        <v>32878088</v>
      </c>
      <c r="D123" s="14">
        <v>48071166</v>
      </c>
      <c r="E123" s="14">
        <v>30743931</v>
      </c>
      <c r="F123" s="14">
        <v>34134465</v>
      </c>
      <c r="G123" s="15">
        <f>C123+E123</f>
        <v>63622019</v>
      </c>
      <c r="H123" s="15">
        <f>D123+F123</f>
        <v>82205631</v>
      </c>
      <c r="I123" s="10">
        <f>IFERROR((D123/C123)^(1/6)-1,0)</f>
        <v>6.5359911040403507E-2</v>
      </c>
      <c r="J123" s="10">
        <f>IFERROR((H123/G123)^(1/6)-1,0)</f>
        <v>4.3635924210998711E-2</v>
      </c>
      <c r="K123" s="15">
        <f>($G123/Assumptions!$E$8+($H123/Assumptions!$E$14-$G123/Assumptions!$E$8)*(K$4-2019)/6)*INDEX(Assumptions!$E$5:$E$14,MATCH(K$4,Assumptions!$A$5:$A$14,0))</f>
        <v>59378821.21695058</v>
      </c>
      <c r="L123" s="15">
        <f>($G123/Assumptions!$E$8+($H123/Assumptions!$E$14-$G123/Assumptions!$E$8)*(L$4-2019)/6)*INDEX(Assumptions!$E$5:$E$14,MATCH(L$4,Assumptions!$A$5:$A$14,0))</f>
        <v>60339379.561416112</v>
      </c>
      <c r="M123" s="15">
        <f>($G123/Assumptions!$E$8+($H123/Assumptions!$E$14-$G123/Assumptions!$E$8)*(M$4-2019)/6)*INDEX(Assumptions!$E$5:$E$14,MATCH(M$4,Assumptions!$A$5:$A$14,0))</f>
        <v>61501451.341489606</v>
      </c>
      <c r="N123" s="15">
        <f>($G123/Assumptions!$E$8+($H123/Assumptions!$E$14-$G123/Assumptions!$E$8)*(N$4-2019)/6)*INDEX(Assumptions!$E$5:$E$14,MATCH(N$4,Assumptions!$A$5:$A$14,0))</f>
        <v>63622019</v>
      </c>
      <c r="O123" s="15">
        <f>($G123/Assumptions!$E$8+($H123/Assumptions!$E$14-$G123/Assumptions!$E$8)*(O$4-2019)/6)*INDEX(Assumptions!$E$5:$E$14,MATCH(O$4,Assumptions!$A$5:$A$14,0))</f>
        <v>66543810.502799422</v>
      </c>
      <c r="P123" s="15">
        <f>($G123/Assumptions!$E$8+($H123/Assumptions!$E$14-$G123/Assumptions!$E$8)*(P$4-2019)/6)*INDEX(Assumptions!$E$5:$E$14,MATCH(P$4,Assumptions!$A$5:$A$14,0))</f>
        <v>71967745.239314497</v>
      </c>
      <c r="Q123" s="15">
        <f>($G123/Assumptions!$E$8+($H123/Assumptions!$E$14-$G123/Assumptions!$E$8)*(Q$4-2019)/6)*INDEX(Assumptions!$E$5:$E$14,MATCH(Q$4,Assumptions!$A$5:$A$14,0))</f>
        <v>80604404.681198925</v>
      </c>
      <c r="R123" s="15">
        <f>($G123/Assumptions!$E$8+($H123/Assumptions!$E$14-$G123/Assumptions!$E$8)*(R$4-2019)/6)*INDEX(Assumptions!$E$5:$E$14,MATCH(R$4,Assumptions!$A$5:$A$14,0))</f>
        <v>83053792.090868145</v>
      </c>
      <c r="S123" s="15">
        <f>($G123/Assumptions!$E$8+($H123/Assumptions!$E$14-$G123/Assumptions!$E$8)*(S$4-2019)/6)*INDEX(Assumptions!$E$5:$E$14,MATCH(S$4,Assumptions!$A$5:$A$14,0))</f>
        <v>82006124.444514394</v>
      </c>
      <c r="T123" s="15">
        <f>($G123/Assumptions!$E$8+($H123/Assumptions!$E$14-$G123/Assumptions!$E$8)*(T$4-2019)/6)*INDEX(Assumptions!$E$5:$E$14,MATCH(T$4,Assumptions!$A$5:$A$14,0))</f>
        <v>82205631</v>
      </c>
    </row>
    <row r="124" spans="1:20">
      <c r="A124" s="16" t="s">
        <v>214</v>
      </c>
      <c r="B124" s="16" t="s">
        <v>190</v>
      </c>
      <c r="C124" s="17">
        <v>1512233</v>
      </c>
      <c r="D124" s="17">
        <v>2318094</v>
      </c>
      <c r="E124" s="17">
        <v>683688</v>
      </c>
      <c r="F124" s="17">
        <v>759609</v>
      </c>
      <c r="G124" s="18">
        <f>C124+E124</f>
        <v>2195921</v>
      </c>
      <c r="H124" s="18">
        <f>D124+F124</f>
        <v>3077703</v>
      </c>
      <c r="I124" s="19">
        <f>IFERROR((D124/C124)^(1/6)-1,0)</f>
        <v>7.3788434492382038E-2</v>
      </c>
      <c r="J124" s="19">
        <f>IFERROR((H124/G124)^(1/6)-1,0)</f>
        <v>5.78765721767589E-2</v>
      </c>
      <c r="K124" s="18">
        <f>($G124/Assumptions!$E$8+($H124/Assumptions!$E$14-$G124/Assumptions!$E$8)*(K$4-2019)/6)*INDEX(Assumptions!$E$5:$E$14,MATCH(K$4,Assumptions!$A$5:$A$14,0))</f>
        <v>1966514.5208490985</v>
      </c>
      <c r="L124" s="18">
        <f>($G124/Assumptions!$E$8+($H124/Assumptions!$E$14-$G124/Assumptions!$E$8)*(L$4-2019)/6)*INDEX(Assumptions!$E$5:$E$14,MATCH(L$4,Assumptions!$A$5:$A$14,0))</f>
        <v>2026145.4504877604</v>
      </c>
      <c r="M124" s="18">
        <f>($G124/Assumptions!$E$8+($H124/Assumptions!$E$14-$G124/Assumptions!$E$8)*(M$4-2019)/6)*INDEX(Assumptions!$E$5:$E$14,MATCH(M$4,Assumptions!$A$5:$A$14,0))</f>
        <v>2093804.5381023581</v>
      </c>
      <c r="N124" s="18">
        <f>($G124/Assumptions!$E$8+($H124/Assumptions!$E$14-$G124/Assumptions!$E$8)*(N$4-2019)/6)*INDEX(Assumptions!$E$5:$E$14,MATCH(N$4,Assumptions!$A$5:$A$14,0))</f>
        <v>2195921</v>
      </c>
      <c r="O124" s="18">
        <f>($G124/Assumptions!$E$8+($H124/Assumptions!$E$14-$G124/Assumptions!$E$8)*(O$4-2019)/6)*INDEX(Assumptions!$E$5:$E$14,MATCH(O$4,Assumptions!$A$5:$A$14,0))</f>
        <v>2328378.6457577003</v>
      </c>
      <c r="P124" s="18">
        <f>($G124/Assumptions!$E$8+($H124/Assumptions!$E$14-$G124/Assumptions!$E$8)*(P$4-2019)/6)*INDEX(Assumptions!$E$5:$E$14,MATCH(P$4,Assumptions!$A$5:$A$14,0))</f>
        <v>2552697.5932508195</v>
      </c>
      <c r="Q124" s="18">
        <f>($G124/Assumptions!$E$8+($H124/Assumptions!$E$14-$G124/Assumptions!$E$8)*(Q$4-2019)/6)*INDEX(Assumptions!$E$5:$E$14,MATCH(Q$4,Assumptions!$A$5:$A$14,0))</f>
        <v>2898112.8467320306</v>
      </c>
      <c r="R124" s="18">
        <f>($G124/Assumptions!$E$8+($H124/Assumptions!$E$14-$G124/Assumptions!$E$8)*(R$4-2019)/6)*INDEX(Assumptions!$E$5:$E$14,MATCH(R$4,Assumptions!$A$5:$A$14,0))</f>
        <v>3026852.0145605546</v>
      </c>
      <c r="S124" s="18">
        <f>($G124/Assumptions!$E$8+($H124/Assumptions!$E$14-$G124/Assumptions!$E$8)*(S$4-2019)/6)*INDEX(Assumptions!$E$5:$E$14,MATCH(S$4,Assumptions!$A$5:$A$14,0))</f>
        <v>3029242.2803546702</v>
      </c>
      <c r="T124" s="18">
        <f>($G124/Assumptions!$E$8+($H124/Assumptions!$E$14-$G124/Assumptions!$E$8)*(T$4-2019)/6)*INDEX(Assumptions!$E$5:$E$14,MATCH(T$4,Assumptions!$A$5:$A$14,0))</f>
        <v>3077703</v>
      </c>
    </row>
    <row r="125" spans="1:20">
      <c r="A125" s="3" t="s">
        <v>215</v>
      </c>
      <c r="B125" s="3" t="s">
        <v>190</v>
      </c>
      <c r="C125" s="14">
        <v>4053112</v>
      </c>
      <c r="D125" s="14">
        <v>5693898</v>
      </c>
      <c r="E125" s="14">
        <v>4107023</v>
      </c>
      <c r="F125" s="14">
        <v>5054471</v>
      </c>
      <c r="G125" s="15">
        <f>C125+E125</f>
        <v>8160135</v>
      </c>
      <c r="H125" s="15">
        <f>D125+F125</f>
        <v>10748369</v>
      </c>
      <c r="I125" s="10">
        <f>IFERROR((D125/C125)^(1/6)-1,0)</f>
        <v>5.8287126084761498E-2</v>
      </c>
      <c r="J125" s="10">
        <f>IFERROR((H125/G125)^(1/6)-1,0)</f>
        <v>4.6985990857754123E-2</v>
      </c>
      <c r="K125" s="15">
        <f>($G125/Assumptions!$E$8+($H125/Assumptions!$E$14-$G125/Assumptions!$E$8)*(K$4-2019)/6)*INDEX(Assumptions!$E$5:$E$14,MATCH(K$4,Assumptions!$A$5:$A$14,0))</f>
        <v>7545258.3454430886</v>
      </c>
      <c r="L125" s="15">
        <f>($G125/Assumptions!$E$8+($H125/Assumptions!$E$14-$G125/Assumptions!$E$8)*(L$4-2019)/6)*INDEX(Assumptions!$E$5:$E$14,MATCH(L$4,Assumptions!$A$5:$A$14,0))</f>
        <v>7691008.3436463317</v>
      </c>
      <c r="M125" s="15">
        <f>($G125/Assumptions!$E$8+($H125/Assumptions!$E$14-$G125/Assumptions!$E$8)*(M$4-2019)/6)*INDEX(Assumptions!$E$5:$E$14,MATCH(M$4,Assumptions!$A$5:$A$14,0))</f>
        <v>7863518.1061646547</v>
      </c>
      <c r="N125" s="15">
        <f>($G125/Assumptions!$E$8+($H125/Assumptions!$E$14-$G125/Assumptions!$E$8)*(N$4-2019)/6)*INDEX(Assumptions!$E$5:$E$14,MATCH(N$4,Assumptions!$A$5:$A$14,0))</f>
        <v>8160135</v>
      </c>
      <c r="O125" s="15">
        <f>($G125/Assumptions!$E$8+($H125/Assumptions!$E$14-$G125/Assumptions!$E$8)*(O$4-2019)/6)*INDEX(Assumptions!$E$5:$E$14,MATCH(O$4,Assumptions!$A$5:$A$14,0))</f>
        <v>8561804.796593681</v>
      </c>
      <c r="P125" s="15">
        <f>($G125/Assumptions!$E$8+($H125/Assumptions!$E$14-$G125/Assumptions!$E$8)*(P$4-2019)/6)*INDEX(Assumptions!$E$5:$E$14,MATCH(P$4,Assumptions!$A$5:$A$14,0))</f>
        <v>9289082.1673503984</v>
      </c>
      <c r="Q125" s="15">
        <f>($G125/Assumptions!$E$8+($H125/Assumptions!$E$14-$G125/Assumptions!$E$8)*(Q$4-2019)/6)*INDEX(Assumptions!$E$5:$E$14,MATCH(Q$4,Assumptions!$A$5:$A$14,0))</f>
        <v>10437116.588329341</v>
      </c>
      <c r="R125" s="15">
        <f>($G125/Assumptions!$E$8+($H125/Assumptions!$E$14-$G125/Assumptions!$E$8)*(R$4-2019)/6)*INDEX(Assumptions!$E$5:$E$14,MATCH(R$4,Assumptions!$A$5:$A$14,0))</f>
        <v>10788915.353278024</v>
      </c>
      <c r="S125" s="15">
        <f>($G125/Assumptions!$E$8+($H125/Assumptions!$E$14-$G125/Assumptions!$E$8)*(S$4-2019)/6)*INDEX(Assumptions!$E$5:$E$14,MATCH(S$4,Assumptions!$A$5:$A$14,0))</f>
        <v>10687373.410621466</v>
      </c>
      <c r="T125" s="15">
        <f>($G125/Assumptions!$E$8+($H125/Assumptions!$E$14-$G125/Assumptions!$E$8)*(T$4-2019)/6)*INDEX(Assumptions!$E$5:$E$14,MATCH(T$4,Assumptions!$A$5:$A$14,0))</f>
        <v>10748369</v>
      </c>
    </row>
    <row r="126" spans="1:20">
      <c r="A126" s="16" t="s">
        <v>216</v>
      </c>
      <c r="B126" s="16" t="s">
        <v>190</v>
      </c>
      <c r="C126" s="17">
        <v>670012</v>
      </c>
      <c r="D126" s="17">
        <v>1243453</v>
      </c>
      <c r="E126" s="17">
        <v>2042090</v>
      </c>
      <c r="F126" s="17">
        <v>2585741</v>
      </c>
      <c r="G126" s="18">
        <f>C126+E126</f>
        <v>2712102</v>
      </c>
      <c r="H126" s="18">
        <f>D126+F126</f>
        <v>3829194</v>
      </c>
      <c r="I126" s="19">
        <f>IFERROR((D126/C126)^(1/6)-1,0)</f>
        <v>0.10855641353056078</v>
      </c>
      <c r="J126" s="19">
        <f>IFERROR((H126/G126)^(1/6)-1,0)</f>
        <v>5.917297661992893E-2</v>
      </c>
      <c r="K126" s="18">
        <f>($G126/Assumptions!$E$8+($H126/Assumptions!$E$14-$G126/Assumptions!$E$8)*(K$4-2019)/6)*INDEX(Assumptions!$E$5:$E$14,MATCH(K$4,Assumptions!$A$5:$A$14,0))</f>
        <v>2419095.2962396727</v>
      </c>
      <c r="L126" s="18">
        <f>($G126/Assumptions!$E$8+($H126/Assumptions!$E$14-$G126/Assumptions!$E$8)*(L$4-2019)/6)*INDEX(Assumptions!$E$5:$E$14,MATCH(L$4,Assumptions!$A$5:$A$14,0))</f>
        <v>2495831.4503290802</v>
      </c>
      <c r="M126" s="18">
        <f>($G126/Assumptions!$E$8+($H126/Assumptions!$E$14-$G126/Assumptions!$E$8)*(M$4-2019)/6)*INDEX(Assumptions!$E$5:$E$14,MATCH(M$4,Assumptions!$A$5:$A$14,0))</f>
        <v>2582608.0275335498</v>
      </c>
      <c r="N126" s="18">
        <f>($G126/Assumptions!$E$8+($H126/Assumptions!$E$14-$G126/Assumptions!$E$8)*(N$4-2019)/6)*INDEX(Assumptions!$E$5:$E$14,MATCH(N$4,Assumptions!$A$5:$A$14,0))</f>
        <v>2712102</v>
      </c>
      <c r="O126" s="18">
        <f>($G126/Assumptions!$E$8+($H126/Assumptions!$E$14-$G126/Assumptions!$E$8)*(O$4-2019)/6)*INDEX(Assumptions!$E$5:$E$14,MATCH(O$4,Assumptions!$A$5:$A$14,0))</f>
        <v>2879382.6445341562</v>
      </c>
      <c r="P126" s="18">
        <f>($G126/Assumptions!$E$8+($H126/Assumptions!$E$14-$G126/Assumptions!$E$8)*(P$4-2019)/6)*INDEX(Assumptions!$E$5:$E$14,MATCH(P$4,Assumptions!$A$5:$A$14,0))</f>
        <v>3160759.2760600485</v>
      </c>
      <c r="Q126" s="18">
        <f>($G126/Assumptions!$E$8+($H126/Assumptions!$E$14-$G126/Assumptions!$E$8)*(Q$4-2019)/6)*INDEX(Assumptions!$E$5:$E$14,MATCH(Q$4,Assumptions!$A$5:$A$14,0))</f>
        <v>3592888.2417943371</v>
      </c>
      <c r="R126" s="18">
        <f>($G126/Assumptions!$E$8+($H126/Assumptions!$E$14-$G126/Assumptions!$E$8)*(R$4-2019)/6)*INDEX(Assumptions!$E$5:$E$14,MATCH(R$4,Assumptions!$A$5:$A$14,0))</f>
        <v>3757044.3696141765</v>
      </c>
      <c r="S126" s="18">
        <f>($G126/Assumptions!$E$8+($H126/Assumptions!$E$14-$G126/Assumptions!$E$8)*(S$4-2019)/6)*INDEX(Assumptions!$E$5:$E$14,MATCH(S$4,Assumptions!$A$5:$A$14,0))</f>
        <v>3764492.857443043</v>
      </c>
      <c r="T126" s="18">
        <f>($G126/Assumptions!$E$8+($H126/Assumptions!$E$14-$G126/Assumptions!$E$8)*(T$4-2019)/6)*INDEX(Assumptions!$E$5:$E$14,MATCH(T$4,Assumptions!$A$5:$A$14,0))</f>
        <v>3829194</v>
      </c>
    </row>
    <row r="127" spans="1:20">
      <c r="A127" s="3" t="s">
        <v>217</v>
      </c>
      <c r="B127" s="3" t="s">
        <v>190</v>
      </c>
      <c r="C127" s="14">
        <v>7465932</v>
      </c>
      <c r="D127" s="14">
        <v>12663273</v>
      </c>
      <c r="E127" s="14">
        <v>14459430</v>
      </c>
      <c r="F127" s="14">
        <v>16930081</v>
      </c>
      <c r="G127" s="15">
        <f>C127+E127</f>
        <v>21925362</v>
      </c>
      <c r="H127" s="15">
        <f>D127+F127</f>
        <v>29593354</v>
      </c>
      <c r="I127" s="10">
        <f>IFERROR((D127/C127)^(1/6)-1,0)</f>
        <v>9.2052850016123289E-2</v>
      </c>
      <c r="J127" s="10">
        <f>IFERROR((H127/G127)^(1/6)-1,0)</f>
        <v>5.1254584565310513E-2</v>
      </c>
      <c r="K127" s="15">
        <f>($G127/Assumptions!$E$8+($H127/Assumptions!$E$14-$G127/Assumptions!$E$8)*(K$4-2019)/6)*INDEX(Assumptions!$E$5:$E$14,MATCH(K$4,Assumptions!$A$5:$A$14,0))</f>
        <v>20026955.636525664</v>
      </c>
      <c r="L127" s="15">
        <f>($G127/Assumptions!$E$8+($H127/Assumptions!$E$14-$G127/Assumptions!$E$8)*(L$4-2019)/6)*INDEX(Assumptions!$E$5:$E$14,MATCH(L$4,Assumptions!$A$5:$A$14,0))</f>
        <v>20497185.708489023</v>
      </c>
      <c r="M127" s="15">
        <f>($G127/Assumptions!$E$8+($H127/Assumptions!$E$14-$G127/Assumptions!$E$8)*(M$4-2019)/6)*INDEX(Assumptions!$E$5:$E$14,MATCH(M$4,Assumptions!$A$5:$A$14,0))</f>
        <v>21042501.913637999</v>
      </c>
      <c r="N127" s="15">
        <f>($G127/Assumptions!$E$8+($H127/Assumptions!$E$14-$G127/Assumptions!$E$8)*(N$4-2019)/6)*INDEX(Assumptions!$E$5:$E$14,MATCH(N$4,Assumptions!$A$5:$A$14,0))</f>
        <v>21925362</v>
      </c>
      <c r="O127" s="15">
        <f>($G127/Assumptions!$E$8+($H127/Assumptions!$E$14-$G127/Assumptions!$E$8)*(O$4-2019)/6)*INDEX(Assumptions!$E$5:$E$14,MATCH(O$4,Assumptions!$A$5:$A$14,0))</f>
        <v>23098465.222569879</v>
      </c>
      <c r="P127" s="15">
        <f>($G127/Assumptions!$E$8+($H127/Assumptions!$E$14-$G127/Assumptions!$E$8)*(P$4-2019)/6)*INDEX(Assumptions!$E$5:$E$14,MATCH(P$4,Assumptions!$A$5:$A$14,0))</f>
        <v>25162768.592088059</v>
      </c>
      <c r="Q127" s="15">
        <f>($G127/Assumptions!$E$8+($H127/Assumptions!$E$14-$G127/Assumptions!$E$8)*(Q$4-2019)/6)*INDEX(Assumptions!$E$5:$E$14,MATCH(Q$4,Assumptions!$A$5:$A$14,0))</f>
        <v>28387910.645640336</v>
      </c>
      <c r="R127" s="15">
        <f>($G127/Assumptions!$E$8+($H127/Assumptions!$E$14-$G127/Assumptions!$E$8)*(R$4-2019)/6)*INDEX(Assumptions!$E$5:$E$14,MATCH(R$4,Assumptions!$A$5:$A$14,0))</f>
        <v>29464388.318287086</v>
      </c>
      <c r="S127" s="15">
        <f>($G127/Assumptions!$E$8+($H127/Assumptions!$E$14-$G127/Assumptions!$E$8)*(S$4-2019)/6)*INDEX(Assumptions!$E$5:$E$14,MATCH(S$4,Assumptions!$A$5:$A$14,0))</f>
        <v>29306021.559958041</v>
      </c>
      <c r="T127" s="15">
        <f>($G127/Assumptions!$E$8+($H127/Assumptions!$E$14-$G127/Assumptions!$E$8)*(T$4-2019)/6)*INDEX(Assumptions!$E$5:$E$14,MATCH(T$4,Assumptions!$A$5:$A$14,0))</f>
        <v>29593354</v>
      </c>
    </row>
    <row r="128" spans="1:20">
      <c r="A128" s="16" t="s">
        <v>218</v>
      </c>
      <c r="B128" s="16" t="s">
        <v>190</v>
      </c>
      <c r="C128" s="17">
        <v>1031650</v>
      </c>
      <c r="D128" s="17">
        <v>1779307</v>
      </c>
      <c r="E128" s="17">
        <v>1526468</v>
      </c>
      <c r="F128" s="17">
        <v>1839559</v>
      </c>
      <c r="G128" s="18">
        <f>C128+E128</f>
        <v>2558118</v>
      </c>
      <c r="H128" s="18">
        <f>D128+F128</f>
        <v>3618866</v>
      </c>
      <c r="I128" s="19">
        <f>IFERROR((D128/C128)^(1/6)-1,0)</f>
        <v>9.5098247952326798E-2</v>
      </c>
      <c r="J128" s="19">
        <f>IFERROR((H128/G128)^(1/6)-1,0)</f>
        <v>5.9518769712762598E-2</v>
      </c>
      <c r="K128" s="18">
        <f>($G128/Assumptions!$E$8+($H128/Assumptions!$E$14-$G128/Assumptions!$E$8)*(K$4-2019)/6)*INDEX(Assumptions!$E$5:$E$14,MATCH(K$4,Assumptions!$A$5:$A$14,0))</f>
        <v>2279303.6285345345</v>
      </c>
      <c r="L128" s="18">
        <f>($G128/Assumptions!$E$8+($H128/Assumptions!$E$14-$G128/Assumptions!$E$8)*(L$4-2019)/6)*INDEX(Assumptions!$E$5:$E$14,MATCH(L$4,Assumptions!$A$5:$A$14,0))</f>
        <v>2352462.9261916196</v>
      </c>
      <c r="M128" s="18">
        <f>($G128/Assumptions!$E$8+($H128/Assumptions!$E$14-$G128/Assumptions!$E$8)*(M$4-2019)/6)*INDEX(Assumptions!$E$5:$E$14,MATCH(M$4,Assumptions!$A$5:$A$14,0))</f>
        <v>2435124.1910734</v>
      </c>
      <c r="N128" s="18">
        <f>($G128/Assumptions!$E$8+($H128/Assumptions!$E$14-$G128/Assumptions!$E$8)*(N$4-2019)/6)*INDEX(Assumptions!$E$5:$E$14,MATCH(N$4,Assumptions!$A$5:$A$14,0))</f>
        <v>2558118</v>
      </c>
      <c r="O128" s="18">
        <f>($G128/Assumptions!$E$8+($H128/Assumptions!$E$14-$G128/Assumptions!$E$8)*(O$4-2019)/6)*INDEX(Assumptions!$E$5:$E$14,MATCH(O$4,Assumptions!$A$5:$A$14,0))</f>
        <v>2716832.2305703042</v>
      </c>
      <c r="P128" s="18">
        <f>($G128/Assumptions!$E$8+($H128/Assumptions!$E$14-$G128/Assumptions!$E$8)*(P$4-2019)/6)*INDEX(Assumptions!$E$5:$E$14,MATCH(P$4,Assumptions!$A$5:$A$14,0))</f>
        <v>2983326.4686947828</v>
      </c>
      <c r="Q128" s="18">
        <f>($G128/Assumptions!$E$8+($H128/Assumptions!$E$14-$G128/Assumptions!$E$8)*(Q$4-2019)/6)*INDEX(Assumptions!$E$5:$E$14,MATCH(Q$4,Assumptions!$A$5:$A$14,0))</f>
        <v>3392314.5616008332</v>
      </c>
      <c r="R128" s="18">
        <f>($G128/Assumptions!$E$8+($H128/Assumptions!$E$14-$G128/Assumptions!$E$8)*(R$4-2019)/6)*INDEX(Assumptions!$E$5:$E$14,MATCH(R$4,Assumptions!$A$5:$A$14,0))</f>
        <v>3548452.4508422394</v>
      </c>
      <c r="S128" s="18">
        <f>($G128/Assumptions!$E$8+($H128/Assumptions!$E$14-$G128/Assumptions!$E$8)*(S$4-2019)/6)*INDEX(Assumptions!$E$5:$E$14,MATCH(S$4,Assumptions!$A$5:$A$14,0))</f>
        <v>3556613.6624071752</v>
      </c>
      <c r="T128" s="18">
        <f>($G128/Assumptions!$E$8+($H128/Assumptions!$E$14-$G128/Assumptions!$E$8)*(T$4-2019)/6)*INDEX(Assumptions!$E$5:$E$14,MATCH(T$4,Assumptions!$A$5:$A$14,0))</f>
        <v>3618866</v>
      </c>
    </row>
    <row r="129" spans="1:20">
      <c r="A129" s="3" t="s">
        <v>219</v>
      </c>
      <c r="B129" s="3" t="s">
        <v>190</v>
      </c>
      <c r="C129" s="14">
        <v>36645609</v>
      </c>
      <c r="D129" s="14">
        <v>53791456</v>
      </c>
      <c r="E129" s="14">
        <v>24792256</v>
      </c>
      <c r="F129" s="14">
        <v>27979903</v>
      </c>
      <c r="G129" s="15">
        <f>C129+E129</f>
        <v>61437865</v>
      </c>
      <c r="H129" s="15">
        <f>D129+F129</f>
        <v>81771359</v>
      </c>
      <c r="I129" s="10">
        <f>IFERROR((D129/C129)^(1/6)-1,0)</f>
        <v>6.6060599831013755E-2</v>
      </c>
      <c r="J129" s="10">
        <f>IFERROR((H129/G129)^(1/6)-1,0)</f>
        <v>4.8803633771800525E-2</v>
      </c>
      <c r="K129" s="15">
        <f>($G129/Assumptions!$E$8+($H129/Assumptions!$E$14-$G129/Assumptions!$E$8)*(K$4-2019)/6)*INDEX(Assumptions!$E$5:$E$14,MATCH(K$4,Assumptions!$A$5:$A$14,0))</f>
        <v>56516271.044115789</v>
      </c>
      <c r="L129" s="15">
        <f>($G129/Assumptions!$E$8+($H129/Assumptions!$E$14-$G129/Assumptions!$E$8)*(L$4-2019)/6)*INDEX(Assumptions!$E$5:$E$14,MATCH(L$4,Assumptions!$A$5:$A$14,0))</f>
        <v>57706883.768239856</v>
      </c>
      <c r="M129" s="15">
        <f>($G129/Assumptions!$E$8+($H129/Assumptions!$E$14-$G129/Assumptions!$E$8)*(M$4-2019)/6)*INDEX(Assumptions!$E$5:$E$14,MATCH(M$4,Assumptions!$A$5:$A$14,0))</f>
        <v>59102750.38576322</v>
      </c>
      <c r="N129" s="15">
        <f>($G129/Assumptions!$E$8+($H129/Assumptions!$E$14-$G129/Assumptions!$E$8)*(N$4-2019)/6)*INDEX(Assumptions!$E$5:$E$14,MATCH(N$4,Assumptions!$A$5:$A$14,0))</f>
        <v>61437865</v>
      </c>
      <c r="O129" s="15">
        <f>($G129/Assumptions!$E$8+($H129/Assumptions!$E$14-$G129/Assumptions!$E$8)*(O$4-2019)/6)*INDEX(Assumptions!$E$5:$E$14,MATCH(O$4,Assumptions!$A$5:$A$14,0))</f>
        <v>64573389.1862005</v>
      </c>
      <c r="P129" s="15">
        <f>($G129/Assumptions!$E$8+($H129/Assumptions!$E$14-$G129/Assumptions!$E$8)*(P$4-2019)/6)*INDEX(Assumptions!$E$5:$E$14,MATCH(P$4,Assumptions!$A$5:$A$14,0))</f>
        <v>70179791.526692882</v>
      </c>
      <c r="Q129" s="15">
        <f>($G129/Assumptions!$E$8+($H129/Assumptions!$E$14-$G129/Assumptions!$E$8)*(Q$4-2019)/6)*INDEX(Assumptions!$E$5:$E$14,MATCH(Q$4,Assumptions!$A$5:$A$14,0))</f>
        <v>78990041.525350019</v>
      </c>
      <c r="R129" s="15">
        <f>($G129/Assumptions!$E$8+($H129/Assumptions!$E$14-$G129/Assumptions!$E$8)*(R$4-2019)/6)*INDEX(Assumptions!$E$5:$E$14,MATCH(R$4,Assumptions!$A$5:$A$14,0))</f>
        <v>81794417.698764786</v>
      </c>
      <c r="S129" s="15">
        <f>($G129/Assumptions!$E$8+($H129/Assumptions!$E$14-$G129/Assumptions!$E$8)*(S$4-2019)/6)*INDEX(Assumptions!$E$5:$E$14,MATCH(S$4,Assumptions!$A$5:$A$14,0))</f>
        <v>81165688.024564549</v>
      </c>
      <c r="T129" s="15">
        <f>($G129/Assumptions!$E$8+($H129/Assumptions!$E$14-$G129/Assumptions!$E$8)*(T$4-2019)/6)*INDEX(Assumptions!$E$5:$E$14,MATCH(T$4,Assumptions!$A$5:$A$14,0))</f>
        <v>81771359</v>
      </c>
    </row>
    <row r="130" spans="1:20">
      <c r="A130" s="16" t="s">
        <v>220</v>
      </c>
      <c r="B130" s="16" t="s">
        <v>190</v>
      </c>
      <c r="C130" s="17">
        <v>22283941</v>
      </c>
      <c r="D130" s="17">
        <v>28977657</v>
      </c>
      <c r="E130" s="17">
        <v>14247307</v>
      </c>
      <c r="F130" s="17">
        <v>16834171</v>
      </c>
      <c r="G130" s="18">
        <f>C130+E130</f>
        <v>36531248</v>
      </c>
      <c r="H130" s="18">
        <f>D130+F130</f>
        <v>45811828</v>
      </c>
      <c r="I130" s="19">
        <f>IFERROR((D130/C130)^(1/6)-1,0)</f>
        <v>4.4748792647893554E-2</v>
      </c>
      <c r="J130" s="19">
        <f>IFERROR((H130/G130)^(1/6)-1,0)</f>
        <v>3.8449828010000076E-2</v>
      </c>
      <c r="K130" s="18">
        <f>($G130/Assumptions!$E$8+($H130/Assumptions!$E$14-$G130/Assumptions!$E$8)*(K$4-2019)/6)*INDEX(Assumptions!$E$5:$E$14,MATCH(K$4,Assumptions!$A$5:$A$14,0))</f>
        <v>34574528.983041227</v>
      </c>
      <c r="L130" s="18">
        <f>($G130/Assumptions!$E$8+($H130/Assumptions!$E$14-$G130/Assumptions!$E$8)*(L$4-2019)/6)*INDEX(Assumptions!$E$5:$E$14,MATCH(L$4,Assumptions!$A$5:$A$14,0))</f>
        <v>34972963.09120246</v>
      </c>
      <c r="M130" s="18">
        <f>($G130/Assumptions!$E$8+($H130/Assumptions!$E$14-$G130/Assumptions!$E$8)*(M$4-2019)/6)*INDEX(Assumptions!$E$5:$E$14,MATCH(M$4,Assumptions!$A$5:$A$14,0))</f>
        <v>35480900.273803152</v>
      </c>
      <c r="N130" s="18">
        <f>($G130/Assumptions!$E$8+($H130/Assumptions!$E$14-$G130/Assumptions!$E$8)*(N$4-2019)/6)*INDEX(Assumptions!$E$5:$E$14,MATCH(N$4,Assumptions!$A$5:$A$14,0))</f>
        <v>36531248</v>
      </c>
      <c r="O130" s="18">
        <f>($G130/Assumptions!$E$8+($H130/Assumptions!$E$14-$G130/Assumptions!$E$8)*(O$4-2019)/6)*INDEX(Assumptions!$E$5:$E$14,MATCH(O$4,Assumptions!$A$5:$A$14,0))</f>
        <v>38026114.564033456</v>
      </c>
      <c r="P130" s="18">
        <f>($G130/Assumptions!$E$8+($H130/Assumptions!$E$14-$G130/Assumptions!$E$8)*(P$4-2019)/6)*INDEX(Assumptions!$E$5:$E$14,MATCH(P$4,Assumptions!$A$5:$A$14,0))</f>
        <v>40925888.97971987</v>
      </c>
      <c r="Q130" s="18">
        <f>($G130/Assumptions!$E$8+($H130/Assumptions!$E$14-$G130/Assumptions!$E$8)*(Q$4-2019)/6)*INDEX(Assumptions!$E$5:$E$14,MATCH(Q$4,Assumptions!$A$5:$A$14,0))</f>
        <v>45611349.216455676</v>
      </c>
      <c r="R130" s="18">
        <f>($G130/Assumptions!$E$8+($H130/Assumptions!$E$14-$G130/Assumptions!$E$8)*(R$4-2019)/6)*INDEX(Assumptions!$E$5:$E$14,MATCH(R$4,Assumptions!$A$5:$A$14,0))</f>
        <v>46762180.026260436</v>
      </c>
      <c r="S130" s="18">
        <f>($G130/Assumptions!$E$8+($H130/Assumptions!$E$14-$G130/Assumptions!$E$8)*(S$4-2019)/6)*INDEX(Assumptions!$E$5:$E$14,MATCH(S$4,Assumptions!$A$5:$A$14,0))</f>
        <v>45937689.151851207</v>
      </c>
      <c r="T130" s="18">
        <f>($G130/Assumptions!$E$8+($H130/Assumptions!$E$14-$G130/Assumptions!$E$8)*(T$4-2019)/6)*INDEX(Assumptions!$E$5:$E$14,MATCH(T$4,Assumptions!$A$5:$A$14,0))</f>
        <v>45811828</v>
      </c>
    </row>
    <row r="131" spans="1:20">
      <c r="A131" s="3" t="s">
        <v>221</v>
      </c>
      <c r="B131" s="3" t="s">
        <v>190</v>
      </c>
      <c r="C131" s="14">
        <v>7337594</v>
      </c>
      <c r="D131" s="14">
        <v>9820357</v>
      </c>
      <c r="E131" s="14">
        <v>3495946</v>
      </c>
      <c r="F131" s="14">
        <v>4010968</v>
      </c>
      <c r="G131" s="15">
        <f>C131+E131</f>
        <v>10833540</v>
      </c>
      <c r="H131" s="15">
        <f>D131+F131</f>
        <v>13831325</v>
      </c>
      <c r="I131" s="10">
        <f>IFERROR((D131/C131)^(1/6)-1,0)</f>
        <v>4.9773486077391071E-2</v>
      </c>
      <c r="J131" s="10">
        <f>IFERROR((H131/G131)^(1/6)-1,0)</f>
        <v>4.1555058544708867E-2</v>
      </c>
      <c r="K131" s="15">
        <f>($G131/Assumptions!$E$8+($H131/Assumptions!$E$14-$G131/Assumptions!$E$8)*(K$4-2019)/6)*INDEX(Assumptions!$E$5:$E$14,MATCH(K$4,Assumptions!$A$5:$A$14,0))</f>
        <v>10168513.609213216</v>
      </c>
      <c r="L131" s="15">
        <f>($G131/Assumptions!$E$8+($H131/Assumptions!$E$14-$G131/Assumptions!$E$8)*(L$4-2019)/6)*INDEX(Assumptions!$E$5:$E$14,MATCH(L$4,Assumptions!$A$5:$A$14,0))</f>
        <v>10313722.680527817</v>
      </c>
      <c r="M131" s="15">
        <f>($G131/Assumptions!$E$8+($H131/Assumptions!$E$14-$G131/Assumptions!$E$8)*(M$4-2019)/6)*INDEX(Assumptions!$E$5:$E$14,MATCH(M$4,Assumptions!$A$5:$A$14,0))</f>
        <v>10492501.647150842</v>
      </c>
      <c r="N131" s="15">
        <f>($G131/Assumptions!$E$8+($H131/Assumptions!$E$14-$G131/Assumptions!$E$8)*(N$4-2019)/6)*INDEX(Assumptions!$E$5:$E$14,MATCH(N$4,Assumptions!$A$5:$A$14,0))</f>
        <v>10833540</v>
      </c>
      <c r="O131" s="15">
        <f>($G131/Assumptions!$E$8+($H131/Assumptions!$E$14-$G131/Assumptions!$E$8)*(O$4-2019)/6)*INDEX(Assumptions!$E$5:$E$14,MATCH(O$4,Assumptions!$A$5:$A$14,0))</f>
        <v>11309147.943678366</v>
      </c>
      <c r="P131" s="15">
        <f>($G131/Assumptions!$E$8+($H131/Assumptions!$E$14-$G131/Assumptions!$E$8)*(P$4-2019)/6)*INDEX(Assumptions!$E$5:$E$14,MATCH(P$4,Assumptions!$A$5:$A$14,0))</f>
        <v>12207007.743271666</v>
      </c>
      <c r="Q131" s="15">
        <f>($G131/Assumptions!$E$8+($H131/Assumptions!$E$14-$G131/Assumptions!$E$8)*(Q$4-2019)/6)*INDEX(Assumptions!$E$5:$E$14,MATCH(Q$4,Assumptions!$A$5:$A$14,0))</f>
        <v>13644852.492645448</v>
      </c>
      <c r="R131" s="15">
        <f>($G131/Assumptions!$E$8+($H131/Assumptions!$E$14-$G131/Assumptions!$E$8)*(R$4-2019)/6)*INDEX(Assumptions!$E$5:$E$14,MATCH(R$4,Assumptions!$A$5:$A$14,0))</f>
        <v>14031294.289228482</v>
      </c>
      <c r="S131" s="15">
        <f>($G131/Assumptions!$E$8+($H131/Assumptions!$E$14-$G131/Assumptions!$E$8)*(S$4-2019)/6)*INDEX(Assumptions!$E$5:$E$14,MATCH(S$4,Assumptions!$A$5:$A$14,0))</f>
        <v>13826173.58926126</v>
      </c>
      <c r="T131" s="15">
        <f>($G131/Assumptions!$E$8+($H131/Assumptions!$E$14-$G131/Assumptions!$E$8)*(T$4-2019)/6)*INDEX(Assumptions!$E$5:$E$14,MATCH(T$4,Assumptions!$A$5:$A$14,0))</f>
        <v>13831325</v>
      </c>
    </row>
    <row r="132" spans="1:20">
      <c r="A132" s="16" t="s">
        <v>222</v>
      </c>
      <c r="B132" s="16" t="s">
        <v>190</v>
      </c>
      <c r="C132" s="17">
        <v>4493895</v>
      </c>
      <c r="D132" s="17">
        <v>6102807</v>
      </c>
      <c r="E132" s="17">
        <v>3029276</v>
      </c>
      <c r="F132" s="17">
        <v>3979317</v>
      </c>
      <c r="G132" s="18">
        <f>C132+E132</f>
        <v>7523171</v>
      </c>
      <c r="H132" s="18">
        <f>D132+F132</f>
        <v>10082124</v>
      </c>
      <c r="I132" s="19">
        <f>IFERROR((D132/C132)^(1/6)-1,0)</f>
        <v>5.2327983077320228E-2</v>
      </c>
      <c r="J132" s="19">
        <f>IFERROR((H132/G132)^(1/6)-1,0)</f>
        <v>5.0006167910910948E-2</v>
      </c>
      <c r="K132" s="18">
        <f>($G132/Assumptions!$E$8+($H132/Assumptions!$E$14-$G132/Assumptions!$E$8)*(K$4-2019)/6)*INDEX(Assumptions!$E$5:$E$14,MATCH(K$4,Assumptions!$A$5:$A$14,0))</f>
        <v>6896672.7823952893</v>
      </c>
      <c r="L132" s="18">
        <f>($G132/Assumptions!$E$8+($H132/Assumptions!$E$14-$G132/Assumptions!$E$8)*(L$4-2019)/6)*INDEX(Assumptions!$E$5:$E$14,MATCH(L$4,Assumptions!$A$5:$A$14,0))</f>
        <v>7050074.9495223891</v>
      </c>
      <c r="M132" s="18">
        <f>($G132/Assumptions!$E$8+($H132/Assumptions!$E$14-$G132/Assumptions!$E$8)*(M$4-2019)/6)*INDEX(Assumptions!$E$5:$E$14,MATCH(M$4,Assumptions!$A$5:$A$14,0))</f>
        <v>7228919.1594160171</v>
      </c>
      <c r="N132" s="18">
        <f>($G132/Assumptions!$E$8+($H132/Assumptions!$E$14-$G132/Assumptions!$E$8)*(N$4-2019)/6)*INDEX(Assumptions!$E$5:$E$14,MATCH(N$4,Assumptions!$A$5:$A$14,0))</f>
        <v>7523171.0000000009</v>
      </c>
      <c r="O132" s="18">
        <f>($G132/Assumptions!$E$8+($H132/Assumptions!$E$14-$G132/Assumptions!$E$8)*(O$4-2019)/6)*INDEX(Assumptions!$E$5:$E$14,MATCH(O$4,Assumptions!$A$5:$A$14,0))</f>
        <v>7916206.5634713136</v>
      </c>
      <c r="P132" s="18">
        <f>($G132/Assumptions!$E$8+($H132/Assumptions!$E$14-$G132/Assumptions!$E$8)*(P$4-2019)/6)*INDEX(Assumptions!$E$5:$E$14,MATCH(P$4,Assumptions!$A$5:$A$14,0))</f>
        <v>8613385.9451345913</v>
      </c>
      <c r="Q132" s="18">
        <f>($G132/Assumptions!$E$8+($H132/Assumptions!$E$14-$G132/Assumptions!$E$8)*(Q$4-2019)/6)*INDEX(Assumptions!$E$5:$E$14,MATCH(Q$4,Assumptions!$A$5:$A$14,0))</f>
        <v>9705815.947072912</v>
      </c>
      <c r="R132" s="18">
        <f>($G132/Assumptions!$E$8+($H132/Assumptions!$E$14-$G132/Assumptions!$E$8)*(R$4-2019)/6)*INDEX(Assumptions!$E$5:$E$14,MATCH(R$4,Assumptions!$A$5:$A$14,0))</f>
        <v>10061919.301568657</v>
      </c>
      <c r="S132" s="18">
        <f>($G132/Assumptions!$E$8+($H132/Assumptions!$E$14-$G132/Assumptions!$E$8)*(S$4-2019)/6)*INDEX(Assumptions!$E$5:$E$14,MATCH(S$4,Assumptions!$A$5:$A$14,0))</f>
        <v>9996009.8542492632</v>
      </c>
      <c r="T132" s="18">
        <f>($G132/Assumptions!$E$8+($H132/Assumptions!$E$14-$G132/Assumptions!$E$8)*(T$4-2019)/6)*INDEX(Assumptions!$E$5:$E$14,MATCH(T$4,Assumptions!$A$5:$A$14,0))</f>
        <v>10082124</v>
      </c>
    </row>
    <row r="133" spans="1:20">
      <c r="A133" s="3" t="s">
        <v>223</v>
      </c>
      <c r="B133" s="3" t="s">
        <v>190</v>
      </c>
      <c r="C133" s="14">
        <v>11331802</v>
      </c>
      <c r="D133" s="14">
        <v>18926055</v>
      </c>
      <c r="E133" s="14">
        <v>15613867</v>
      </c>
      <c r="F133" s="14">
        <v>19011334</v>
      </c>
      <c r="G133" s="15">
        <f>C133+E133</f>
        <v>26945669</v>
      </c>
      <c r="H133" s="15">
        <f>D133+F133</f>
        <v>37937389</v>
      </c>
      <c r="I133" s="10">
        <f>IFERROR((D133/C133)^(1/6)-1,0)</f>
        <v>8.9248206165160715E-2</v>
      </c>
      <c r="J133" s="10">
        <f>IFERROR((H133/G133)^(1/6)-1,0)</f>
        <v>5.8676024477698041E-2</v>
      </c>
      <c r="K133" s="15">
        <f>($G133/Assumptions!$E$8+($H133/Assumptions!$E$14-$G133/Assumptions!$E$8)*(K$4-2019)/6)*INDEX(Assumptions!$E$5:$E$14,MATCH(K$4,Assumptions!$A$5:$A$14,0))</f>
        <v>24071463.862345789</v>
      </c>
      <c r="L133" s="15">
        <f>($G133/Assumptions!$E$8+($H133/Assumptions!$E$14-$G133/Assumptions!$E$8)*(L$4-2019)/6)*INDEX(Assumptions!$E$5:$E$14,MATCH(L$4,Assumptions!$A$5:$A$14,0))</f>
        <v>24822080.451783031</v>
      </c>
      <c r="M133" s="15">
        <f>($G133/Assumptions!$E$8+($H133/Assumptions!$E$14-$G133/Assumptions!$E$8)*(M$4-2019)/6)*INDEX(Assumptions!$E$5:$E$14,MATCH(M$4,Assumptions!$A$5:$A$14,0))</f>
        <v>25671974.618057624</v>
      </c>
      <c r="N133" s="15">
        <f>($G133/Assumptions!$E$8+($H133/Assumptions!$E$14-$G133/Assumptions!$E$8)*(N$4-2019)/6)*INDEX(Assumptions!$E$5:$E$14,MATCH(N$4,Assumptions!$A$5:$A$14,0))</f>
        <v>26945669</v>
      </c>
      <c r="O133" s="15">
        <f>($G133/Assumptions!$E$8+($H133/Assumptions!$E$14-$G133/Assumptions!$E$8)*(O$4-2019)/6)*INDEX(Assumptions!$E$5:$E$14,MATCH(O$4,Assumptions!$A$5:$A$14,0))</f>
        <v>28593591.228473458</v>
      </c>
      <c r="P133" s="15">
        <f>($G133/Assumptions!$E$8+($H133/Assumptions!$E$14-$G133/Assumptions!$E$8)*(P$4-2019)/6)*INDEX(Assumptions!$E$5:$E$14,MATCH(P$4,Assumptions!$A$5:$A$14,0))</f>
        <v>31372648.890384063</v>
      </c>
      <c r="Q133" s="15">
        <f>($G133/Assumptions!$E$8+($H133/Assumptions!$E$14-$G133/Assumptions!$E$8)*(Q$4-2019)/6)*INDEX(Assumptions!$E$5:$E$14,MATCH(Q$4,Assumptions!$A$5:$A$14,0))</f>
        <v>35644939.623528719</v>
      </c>
      <c r="R133" s="15">
        <f>($G133/Assumptions!$E$8+($H133/Assumptions!$E$14-$G133/Assumptions!$E$8)*(R$4-2019)/6)*INDEX(Assumptions!$E$5:$E$14,MATCH(R$4,Assumptions!$A$5:$A$14,0))</f>
        <v>37256217.072828569</v>
      </c>
      <c r="S133" s="15">
        <f>($G133/Assumptions!$E$8+($H133/Assumptions!$E$14-$G133/Assumptions!$E$8)*(S$4-2019)/6)*INDEX(Assumptions!$E$5:$E$14,MATCH(S$4,Assumptions!$A$5:$A$14,0))</f>
        <v>37313063.531310968</v>
      </c>
      <c r="T133" s="15">
        <f>($G133/Assumptions!$E$8+($H133/Assumptions!$E$14-$G133/Assumptions!$E$8)*(T$4-2019)/6)*INDEX(Assumptions!$E$5:$E$14,MATCH(T$4,Assumptions!$A$5:$A$14,0))</f>
        <v>37937389</v>
      </c>
    </row>
    <row r="134" spans="1:20">
      <c r="A134" s="16" t="s">
        <v>224</v>
      </c>
      <c r="B134" s="16" t="s">
        <v>190</v>
      </c>
      <c r="C134" s="17">
        <v>65602064</v>
      </c>
      <c r="D134" s="17">
        <v>96460222</v>
      </c>
      <c r="E134" s="17">
        <v>68909711</v>
      </c>
      <c r="F134" s="17">
        <v>81273404</v>
      </c>
      <c r="G134" s="18">
        <f>C134+E134</f>
        <v>134511775</v>
      </c>
      <c r="H134" s="18">
        <f>D134+F134</f>
        <v>177733626</v>
      </c>
      <c r="I134" s="19">
        <f>IFERROR((D134/C134)^(1/6)-1,0)</f>
        <v>6.6363141933319714E-2</v>
      </c>
      <c r="J134" s="19">
        <f>IFERROR((H134/G134)^(1/6)-1,0)</f>
        <v>4.7534213258860314E-2</v>
      </c>
      <c r="K134" s="18">
        <f>($G134/Assumptions!$E$8+($H134/Assumptions!$E$14-$G134/Assumptions!$E$8)*(K$4-2019)/6)*INDEX(Assumptions!$E$5:$E$14,MATCH(K$4,Assumptions!$A$5:$A$14,0))</f>
        <v>124183789.07208361</v>
      </c>
      <c r="L134" s="18">
        <f>($G134/Assumptions!$E$8+($H134/Assumptions!$E$14-$G134/Assumptions!$E$8)*(L$4-2019)/6)*INDEX(Assumptions!$E$5:$E$14,MATCH(L$4,Assumptions!$A$5:$A$14,0))</f>
        <v>126647729.76527849</v>
      </c>
      <c r="M134" s="18">
        <f>($G134/Assumptions!$E$8+($H134/Assumptions!$E$14-$G134/Assumptions!$E$8)*(M$4-2019)/6)*INDEX(Assumptions!$E$5:$E$14,MATCH(M$4,Assumptions!$A$5:$A$14,0))</f>
        <v>129555266.63448571</v>
      </c>
      <c r="N134" s="18">
        <f>($G134/Assumptions!$E$8+($H134/Assumptions!$E$14-$G134/Assumptions!$E$8)*(N$4-2019)/6)*INDEX(Assumptions!$E$5:$E$14,MATCH(N$4,Assumptions!$A$5:$A$14,0))</f>
        <v>134511775</v>
      </c>
      <c r="O134" s="18">
        <f>($G134/Assumptions!$E$8+($H134/Assumptions!$E$14-$G134/Assumptions!$E$8)*(O$4-2019)/6)*INDEX(Assumptions!$E$5:$E$14,MATCH(O$4,Assumptions!$A$5:$A$14,0))</f>
        <v>141206207.15974668</v>
      </c>
      <c r="P134" s="18">
        <f>($G134/Assumptions!$E$8+($H134/Assumptions!$E$14-$G134/Assumptions!$E$8)*(P$4-2019)/6)*INDEX(Assumptions!$E$5:$E$14,MATCH(P$4,Assumptions!$A$5:$A$14,0))</f>
        <v>153280711.4220221</v>
      </c>
      <c r="Q134" s="18">
        <f>($G134/Assumptions!$E$8+($H134/Assumptions!$E$14-$G134/Assumptions!$E$8)*(Q$4-2019)/6)*INDEX(Assumptions!$E$5:$E$14,MATCH(Q$4,Assumptions!$A$5:$A$14,0))</f>
        <v>172314652.83326915</v>
      </c>
      <c r="R134" s="18">
        <f>($G134/Assumptions!$E$8+($H134/Assumptions!$E$14-$G134/Assumptions!$E$8)*(R$4-2019)/6)*INDEX(Assumptions!$E$5:$E$14,MATCH(R$4,Assumptions!$A$5:$A$14,0))</f>
        <v>178216196.30669659</v>
      </c>
      <c r="S134" s="18">
        <f>($G134/Assumptions!$E$8+($H134/Assumptions!$E$14-$G134/Assumptions!$E$8)*(S$4-2019)/6)*INDEX(Assumptions!$E$5:$E$14,MATCH(S$4,Assumptions!$A$5:$A$14,0))</f>
        <v>176631769.55105522</v>
      </c>
      <c r="T134" s="18">
        <f>($G134/Assumptions!$E$8+($H134/Assumptions!$E$14-$G134/Assumptions!$E$8)*(T$4-2019)/6)*INDEX(Assumptions!$E$5:$E$14,MATCH(T$4,Assumptions!$A$5:$A$14,0))</f>
        <v>177733626</v>
      </c>
    </row>
    <row r="135" spans="1:20">
      <c r="A135" s="3" t="s">
        <v>225</v>
      </c>
      <c r="B135" s="3" t="s">
        <v>190</v>
      </c>
      <c r="C135" s="14">
        <v>5546073</v>
      </c>
      <c r="D135" s="14">
        <v>7533491</v>
      </c>
      <c r="E135" s="14">
        <v>3342565</v>
      </c>
      <c r="F135" s="14">
        <v>3832574</v>
      </c>
      <c r="G135" s="15">
        <f>C135+E135</f>
        <v>8888638</v>
      </c>
      <c r="H135" s="15">
        <f>D135+F135</f>
        <v>11366065</v>
      </c>
      <c r="I135" s="10">
        <f>IFERROR((D135/C135)^(1/6)-1,0)</f>
        <v>5.2369974709812972E-2</v>
      </c>
      <c r="J135" s="10">
        <f>IFERROR((H135/G135)^(1/6)-1,0)</f>
        <v>4.1827505924338926E-2</v>
      </c>
      <c r="K135" s="15">
        <f>($G135/Assumptions!$E$8+($H135/Assumptions!$E$14-$G135/Assumptions!$E$8)*(K$4-2019)/6)*INDEX(Assumptions!$E$5:$E$14,MATCH(K$4,Assumptions!$A$5:$A$14,0))</f>
        <v>8336850.5339747285</v>
      </c>
      <c r="L135" s="15">
        <f>($G135/Assumptions!$E$8+($H135/Assumptions!$E$14-$G135/Assumptions!$E$8)*(L$4-2019)/6)*INDEX(Assumptions!$E$5:$E$14,MATCH(L$4,Assumptions!$A$5:$A$14,0))</f>
        <v>8457953.9889945779</v>
      </c>
      <c r="M135" s="15">
        <f>($G135/Assumptions!$E$8+($H135/Assumptions!$E$14-$G135/Assumptions!$E$8)*(M$4-2019)/6)*INDEX(Assumptions!$E$5:$E$14,MATCH(M$4,Assumptions!$A$5:$A$14,0))</f>
        <v>8606680.2222732827</v>
      </c>
      <c r="N135" s="15">
        <f>($G135/Assumptions!$E$8+($H135/Assumptions!$E$14-$G135/Assumptions!$E$8)*(N$4-2019)/6)*INDEX(Assumptions!$E$5:$E$14,MATCH(N$4,Assumptions!$A$5:$A$14,0))</f>
        <v>8888638</v>
      </c>
      <c r="O135" s="15">
        <f>($G135/Assumptions!$E$8+($H135/Assumptions!$E$14-$G135/Assumptions!$E$8)*(O$4-2019)/6)*INDEX(Assumptions!$E$5:$E$14,MATCH(O$4,Assumptions!$A$5:$A$14,0))</f>
        <v>9281205.8501061164</v>
      </c>
      <c r="P135" s="15">
        <f>($G135/Assumptions!$E$8+($H135/Assumptions!$E$14-$G135/Assumptions!$E$8)*(P$4-2019)/6)*INDEX(Assumptions!$E$5:$E$14,MATCH(P$4,Assumptions!$A$5:$A$14,0))</f>
        <v>10020628.145525398</v>
      </c>
      <c r="Q135" s="15">
        <f>($G135/Assumptions!$E$8+($H135/Assumptions!$E$14-$G135/Assumptions!$E$8)*(Q$4-2019)/6)*INDEX(Assumptions!$E$5:$E$14,MATCH(Q$4,Assumptions!$A$5:$A$14,0))</f>
        <v>11203851.000621052</v>
      </c>
      <c r="R135" s="15">
        <f>($G135/Assumptions!$E$8+($H135/Assumptions!$E$14-$G135/Assumptions!$E$8)*(R$4-2019)/6)*INDEX(Assumptions!$E$5:$E$14,MATCH(R$4,Assumptions!$A$5:$A$14,0))</f>
        <v>11524193.595954156</v>
      </c>
      <c r="S135" s="15">
        <f>($G135/Assumptions!$E$8+($H135/Assumptions!$E$14-$G135/Assumptions!$E$8)*(S$4-2019)/6)*INDEX(Assumptions!$E$5:$E$14,MATCH(S$4,Assumptions!$A$5:$A$14,0))</f>
        <v>11358755.784057792</v>
      </c>
      <c r="T135" s="15">
        <f>($G135/Assumptions!$E$8+($H135/Assumptions!$E$14-$G135/Assumptions!$E$8)*(T$4-2019)/6)*INDEX(Assumptions!$E$5:$E$14,MATCH(T$4,Assumptions!$A$5:$A$14,0))</f>
        <v>11366065</v>
      </c>
    </row>
    <row r="136" spans="1:20">
      <c r="A136" s="16" t="s">
        <v>226</v>
      </c>
      <c r="B136" s="16" t="s">
        <v>190</v>
      </c>
      <c r="C136" s="17">
        <v>4717477</v>
      </c>
      <c r="D136" s="17">
        <v>6012308</v>
      </c>
      <c r="E136" s="17">
        <v>1161780</v>
      </c>
      <c r="F136" s="17">
        <v>1394535</v>
      </c>
      <c r="G136" s="18">
        <f>C136+E136</f>
        <v>5879257</v>
      </c>
      <c r="H136" s="18">
        <f>D136+F136</f>
        <v>7406843</v>
      </c>
      <c r="I136" s="19">
        <f>IFERROR((D136/C136)^(1/6)-1,0)</f>
        <v>4.1250536533977922E-2</v>
      </c>
      <c r="J136" s="19">
        <f>IFERROR((H136/G136)^(1/6)-1,0)</f>
        <v>3.9246209230803686E-2</v>
      </c>
      <c r="K136" s="18">
        <f>($G136/Assumptions!$E$8+($H136/Assumptions!$E$14-$G136/Assumptions!$E$8)*(K$4-2019)/6)*INDEX(Assumptions!$E$5:$E$14,MATCH(K$4,Assumptions!$A$5:$A$14,0))</f>
        <v>5552616.7672383385</v>
      </c>
      <c r="L136" s="18">
        <f>($G136/Assumptions!$E$8+($H136/Assumptions!$E$14-$G136/Assumptions!$E$8)*(L$4-2019)/6)*INDEX(Assumptions!$E$5:$E$14,MATCH(L$4,Assumptions!$A$5:$A$14,0))</f>
        <v>5620483.9985841578</v>
      </c>
      <c r="M136" s="18">
        <f>($G136/Assumptions!$E$8+($H136/Assumptions!$E$14-$G136/Assumptions!$E$8)*(M$4-2019)/6)*INDEX(Assumptions!$E$5:$E$14,MATCH(M$4,Assumptions!$A$5:$A$14,0))</f>
        <v>5706126.1277714316</v>
      </c>
      <c r="N136" s="18">
        <f>($G136/Assumptions!$E$8+($H136/Assumptions!$E$14-$G136/Assumptions!$E$8)*(N$4-2019)/6)*INDEX(Assumptions!$E$5:$E$14,MATCH(N$4,Assumptions!$A$5:$A$14,0))</f>
        <v>5879257</v>
      </c>
      <c r="O136" s="18">
        <f>($G136/Assumptions!$E$8+($H136/Assumptions!$E$14-$G136/Assumptions!$E$8)*(O$4-2019)/6)*INDEX(Assumptions!$E$5:$E$14,MATCH(O$4,Assumptions!$A$5:$A$14,0))</f>
        <v>6124307.6843406353</v>
      </c>
      <c r="P136" s="18">
        <f>($G136/Assumptions!$E$8+($H136/Assumptions!$E$14-$G136/Assumptions!$E$8)*(P$4-2019)/6)*INDEX(Assumptions!$E$5:$E$14,MATCH(P$4,Assumptions!$A$5:$A$14,0))</f>
        <v>6596238.7758304086</v>
      </c>
      <c r="Q136" s="18">
        <f>($G136/Assumptions!$E$8+($H136/Assumptions!$E$14-$G136/Assumptions!$E$8)*(Q$4-2019)/6)*INDEX(Assumptions!$E$5:$E$14,MATCH(Q$4,Assumptions!$A$5:$A$14,0))</f>
        <v>7356997.7556797182</v>
      </c>
      <c r="R136" s="18">
        <f>($G136/Assumptions!$E$8+($H136/Assumptions!$E$14-$G136/Assumptions!$E$8)*(R$4-2019)/6)*INDEX(Assumptions!$E$5:$E$14,MATCH(R$4,Assumptions!$A$5:$A$14,0))</f>
        <v>7548459.9730032701</v>
      </c>
      <c r="S136" s="18">
        <f>($G136/Assumptions!$E$8+($H136/Assumptions!$E$14-$G136/Assumptions!$E$8)*(S$4-2019)/6)*INDEX(Assumptions!$E$5:$E$14,MATCH(S$4,Assumptions!$A$5:$A$14,0))</f>
        <v>7421219.7180355182</v>
      </c>
      <c r="T136" s="18">
        <f>($G136/Assumptions!$E$8+($H136/Assumptions!$E$14-$G136/Assumptions!$E$8)*(T$4-2019)/6)*INDEX(Assumptions!$E$5:$E$14,MATCH(T$4,Assumptions!$A$5:$A$14,0))</f>
        <v>7406843</v>
      </c>
    </row>
    <row r="137" spans="1:20">
      <c r="A137" s="3" t="s">
        <v>227</v>
      </c>
      <c r="B137" s="3" t="s">
        <v>190</v>
      </c>
      <c r="C137" s="14">
        <v>9951036</v>
      </c>
      <c r="D137" s="14">
        <v>13385081</v>
      </c>
      <c r="E137" s="14">
        <v>4037675</v>
      </c>
      <c r="F137" s="14">
        <v>4875119</v>
      </c>
      <c r="G137" s="15">
        <f>C137+E137</f>
        <v>13988711</v>
      </c>
      <c r="H137" s="15">
        <f>D137+F137</f>
        <v>18260200</v>
      </c>
      <c r="I137" s="10">
        <f>IFERROR((D137/C137)^(1/6)-1,0)</f>
        <v>5.0651740684329427E-2</v>
      </c>
      <c r="J137" s="10">
        <f>IFERROR((H137/G137)^(1/6)-1,0)</f>
        <v>4.5413182060968449E-2</v>
      </c>
      <c r="K137" s="15">
        <f>($G137/Assumptions!$E$8+($H137/Assumptions!$E$14-$G137/Assumptions!$E$8)*(K$4-2019)/6)*INDEX(Assumptions!$E$5:$E$14,MATCH(K$4,Assumptions!$A$5:$A$14,0))</f>
        <v>12991743.037101863</v>
      </c>
      <c r="L137" s="15">
        <f>($G137/Assumptions!$E$8+($H137/Assumptions!$E$14-$G137/Assumptions!$E$8)*(L$4-2019)/6)*INDEX(Assumptions!$E$5:$E$14,MATCH(L$4,Assumptions!$A$5:$A$14,0))</f>
        <v>13223373.197718611</v>
      </c>
      <c r="M137" s="15">
        <f>($G137/Assumptions!$E$8+($H137/Assumptions!$E$14-$G137/Assumptions!$E$8)*(M$4-2019)/6)*INDEX(Assumptions!$E$5:$E$14,MATCH(M$4,Assumptions!$A$5:$A$14,0))</f>
        <v>13500138.416883981</v>
      </c>
      <c r="N137" s="15">
        <f>($G137/Assumptions!$E$8+($H137/Assumptions!$E$14-$G137/Assumptions!$E$8)*(N$4-2019)/6)*INDEX(Assumptions!$E$5:$E$14,MATCH(N$4,Assumptions!$A$5:$A$14,0))</f>
        <v>13988711</v>
      </c>
      <c r="O137" s="15">
        <f>($G137/Assumptions!$E$8+($H137/Assumptions!$E$14-$G137/Assumptions!$E$8)*(O$4-2019)/6)*INDEX(Assumptions!$E$5:$E$14,MATCH(O$4,Assumptions!$A$5:$A$14,0))</f>
        <v>14655523.615926981</v>
      </c>
      <c r="P137" s="15">
        <f>($G137/Assumptions!$E$8+($H137/Assumptions!$E$14-$G137/Assumptions!$E$8)*(P$4-2019)/6)*INDEX(Assumptions!$E$5:$E$14,MATCH(P$4,Assumptions!$A$5:$A$14,0))</f>
        <v>15876731.406166675</v>
      </c>
      <c r="Q137" s="15">
        <f>($G137/Assumptions!$E$8+($H137/Assumptions!$E$14-$G137/Assumptions!$E$8)*(Q$4-2019)/6)*INDEX(Assumptions!$E$5:$E$14,MATCH(Q$4,Assumptions!$A$5:$A$14,0))</f>
        <v>17812205.142180026</v>
      </c>
      <c r="R137" s="15">
        <f>($G137/Assumptions!$E$8+($H137/Assumptions!$E$14-$G137/Assumptions!$E$8)*(R$4-2019)/6)*INDEX(Assumptions!$E$5:$E$14,MATCH(R$4,Assumptions!$A$5:$A$14,0))</f>
        <v>18384861.234856144</v>
      </c>
      <c r="S137" s="15">
        <f>($G137/Assumptions!$E$8+($H137/Assumptions!$E$14-$G137/Assumptions!$E$8)*(S$4-2019)/6)*INDEX(Assumptions!$E$5:$E$14,MATCH(S$4,Assumptions!$A$5:$A$14,0))</f>
        <v>18184254.454890303</v>
      </c>
      <c r="T137" s="15">
        <f>($G137/Assumptions!$E$8+($H137/Assumptions!$E$14-$G137/Assumptions!$E$8)*(T$4-2019)/6)*INDEX(Assumptions!$E$5:$E$14,MATCH(T$4,Assumptions!$A$5:$A$14,0))</f>
        <v>18260200</v>
      </c>
    </row>
    <row r="138" spans="1:20">
      <c r="A138" s="20" t="s">
        <v>228</v>
      </c>
      <c r="C138" s="21">
        <f>SUM(C5:C137)</f>
        <v>1292803735</v>
      </c>
      <c r="D138" s="21">
        <f>SUM(D5:D137)</f>
        <v>1876912593</v>
      </c>
      <c r="E138" s="21">
        <f>SUM(E5:E137)</f>
        <v>1290310946</v>
      </c>
      <c r="F138" s="21">
        <f>SUM(F5:F137)</f>
        <v>1564222649</v>
      </c>
      <c r="G138" s="21">
        <f>SUM(G5:G137)</f>
        <v>2583114681</v>
      </c>
      <c r="H138" s="21">
        <f>SUM(H5:H137)</f>
        <v>3441135242</v>
      </c>
      <c r="K138" s="21">
        <f>SUM(K5:K137)</f>
        <v>2375115469.0778294</v>
      </c>
      <c r="L138" s="21">
        <f>SUM(L5:L137)</f>
        <v>2425516813.6045656</v>
      </c>
      <c r="M138" s="21">
        <f>SUM(M5:M137)</f>
        <v>2484561814.6987882</v>
      </c>
      <c r="N138" s="21">
        <f>SUM(N5:N137)</f>
        <v>2583114681</v>
      </c>
      <c r="O138" s="21">
        <f>SUM(O5:O137)</f>
        <v>2715355030.2514029</v>
      </c>
      <c r="P138" s="21">
        <f>SUM(P5:P137)</f>
        <v>2951553034.3926353</v>
      </c>
      <c r="Q138" s="21">
        <f>SUM(Q5:Q137)</f>
        <v>3322586887.530447</v>
      </c>
      <c r="R138" s="21">
        <f>SUM(R5:R137)</f>
        <v>3441067301.8744135</v>
      </c>
      <c r="S138" s="21">
        <f>SUM(S5:S137)</f>
        <v>3415131912.3111668</v>
      </c>
      <c r="T138" s="21">
        <f>SUM(T5:T137)</f>
        <v>3441135242</v>
      </c>
    </row>
  </sheetData>
  <autoFilter ref="A4:J137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38"/>
  <sheetViews>
    <sheetView showGridLines="0"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1" width="24" customWidth="1"/>
    <col min="2" max="2" width="9" customWidth="1"/>
    <col min="3" max="24" width="15" customWidth="1"/>
  </cols>
  <sheetData>
    <row r="1" spans="1:24" ht="17.45">
      <c r="A1" s="1" t="s">
        <v>229</v>
      </c>
    </row>
    <row r="2" spans="1:24">
      <c r="A2" s="4" t="s">
        <v>230</v>
      </c>
    </row>
    <row r="4" spans="1:24" ht="39.75" customHeight="1">
      <c r="A4" s="5" t="s">
        <v>83</v>
      </c>
      <c r="B4" s="5" t="s">
        <v>84</v>
      </c>
      <c r="C4" s="5" t="s">
        <v>231</v>
      </c>
      <c r="D4" s="5" t="s">
        <v>232</v>
      </c>
      <c r="E4" s="13">
        <v>2026</v>
      </c>
      <c r="F4" s="13">
        <v>2027</v>
      </c>
      <c r="G4" s="13">
        <v>2028</v>
      </c>
      <c r="H4" s="13">
        <v>2029</v>
      </c>
      <c r="I4" s="13">
        <v>2030</v>
      </c>
      <c r="J4" s="13">
        <v>2031</v>
      </c>
      <c r="K4" s="13">
        <v>2032</v>
      </c>
      <c r="L4" s="13">
        <v>2033</v>
      </c>
      <c r="M4" s="13">
        <v>2034</v>
      </c>
      <c r="N4" s="13">
        <v>2035</v>
      </c>
      <c r="O4" s="13">
        <v>2036</v>
      </c>
      <c r="P4" s="13">
        <v>2037</v>
      </c>
      <c r="Q4" s="13">
        <v>2038</v>
      </c>
      <c r="R4" s="13">
        <v>2039</v>
      </c>
      <c r="S4" s="13">
        <v>2040</v>
      </c>
      <c r="T4" s="13">
        <v>2041</v>
      </c>
      <c r="U4" s="13">
        <v>2042</v>
      </c>
      <c r="V4" s="13">
        <v>2043</v>
      </c>
      <c r="W4" s="13">
        <v>2044</v>
      </c>
      <c r="X4" s="13">
        <v>2045</v>
      </c>
    </row>
    <row r="5" spans="1:24">
      <c r="A5" s="22" t="str">
        <f>'Historical FY16-FY25'!A5</f>
        <v>Accomack County</v>
      </c>
      <c r="B5" s="22" t="str">
        <f>'Historical FY16-FY25'!B5</f>
        <v>County</v>
      </c>
      <c r="C5" s="23">
        <f>'Historical FY16-FY25'!H5</f>
        <v>11822596</v>
      </c>
      <c r="D5" s="10">
        <f>MIN(Assumptions!$B$27,MAX(Assumptions!$B$26,Assumptions!$B$24+Assumptions!$B$25*('Historical FY16-FY25'!J5-Assumptions!$B$20)))</f>
        <v>3.9494373722412157E-2</v>
      </c>
      <c r="E5" s="15">
        <f>$C5*(1+$D5)^(E$4-2025)</f>
        <v>12289522.024793094</v>
      </c>
      <c r="F5" s="15">
        <f>$C5*(1+$D5)^(F$4-2025)</f>
        <v>12774889.000510085</v>
      </c>
      <c r="G5" s="15">
        <f>$C5*(1+$D5)^(G$4-2025)</f>
        <v>13279425.240958562</v>
      </c>
      <c r="H5" s="15">
        <f>$C5*(1+$D5)^(H$4-2025)</f>
        <v>13803887.82424381</v>
      </c>
      <c r="I5" s="15">
        <f>$C5*(1+$D5)^(I$4-2025)</f>
        <v>14349063.72879675</v>
      </c>
      <c r="J5" s="15">
        <f>$C5*(1+$D5)^(J$4-2025)</f>
        <v>14915771.014268555</v>
      </c>
      <c r="K5" s="15">
        <f>$C5*(1+$D5)^(K$4-2025)</f>
        <v>15504860.049063999</v>
      </c>
      <c r="L5" s="15">
        <f>$C5*(1+$D5)^(L$4-2025)</f>
        <v>16117214.786355427</v>
      </c>
      <c r="M5" s="15">
        <f>$C5*(1+$D5)^(M$4-2025)</f>
        <v>16753754.090492135</v>
      </c>
      <c r="N5" s="15">
        <f>$C5*(1+$D5)^(N$4-2025)</f>
        <v>17415433.115795419</v>
      </c>
      <c r="O5" s="15">
        <f>$C5*(1+$D5)^(O$4-2025)</f>
        <v>18103244.739808314</v>
      </c>
      <c r="P5" s="15">
        <f>$C5*(1+$D5)^(P$4-2025)</f>
        <v>18818221.053150594</v>
      </c>
      <c r="Q5" s="15">
        <f>$C5*(1+$D5)^(Q$4-2025)</f>
        <v>19561434.908214688</v>
      </c>
      <c r="R5" s="15">
        <f>$C5*(1+$D5)^(R$4-2025)</f>
        <v>20334001.529026352</v>
      </c>
      <c r="S5" s="15">
        <f>$C5*(1+$D5)^(S$4-2025)</f>
        <v>21137080.184685819</v>
      </c>
      <c r="T5" s="15">
        <f>$C5*(1+$D5)^(T$4-2025)</f>
        <v>21971875.928900387</v>
      </c>
      <c r="U5" s="15">
        <f>$C5*(1+$D5)^(U$4-2025)</f>
        <v>22839641.408218849</v>
      </c>
      <c r="V5" s="15">
        <f>$C5*(1+$D5)^(V$4-2025)</f>
        <v>23741678.74168092</v>
      </c>
      <c r="W5" s="15">
        <f>$C5*(1+$D5)^(W$4-2025)</f>
        <v>24679341.474702314</v>
      </c>
      <c r="X5" s="15">
        <f>$C5*(1+$D5)^(X$4-2025)</f>
        <v>25654036.610127229</v>
      </c>
    </row>
    <row r="6" spans="1:24">
      <c r="A6" s="24" t="str">
        <f>'Historical FY16-FY25'!A6</f>
        <v>Albemarle County</v>
      </c>
      <c r="B6" s="24" t="str">
        <f>'Historical FY16-FY25'!B6</f>
        <v>County</v>
      </c>
      <c r="C6" s="25">
        <f>'Historical FY16-FY25'!H6</f>
        <v>45437928</v>
      </c>
      <c r="D6" s="19">
        <f>MIN(Assumptions!$B$27,MAX(Assumptions!$B$26,Assumptions!$B$24+Assumptions!$B$25*('Historical FY16-FY25'!J6-Assumptions!$B$20)))</f>
        <v>4.9296426935101834E-2</v>
      </c>
      <c r="E6" s="18">
        <f>$C6*(1+$D6)^(E$4-2025)</f>
        <v>47677855.49773442</v>
      </c>
      <c r="F6" s="18">
        <f>$C6*(1+$D6)^(F$4-2025)</f>
        <v>50028203.417700835</v>
      </c>
      <c r="G6" s="18">
        <f>$C6*(1+$D6)^(G$4-2025)</f>
        <v>52494415.092175946</v>
      </c>
      <c r="H6" s="18">
        <f>$C6*(1+$D6)^(H$4-2025)</f>
        <v>55082202.1902683</v>
      </c>
      <c r="I6" s="18">
        <f>$C6*(1+$D6)^(I$4-2025)</f>
        <v>57797557.945965372</v>
      </c>
      <c r="J6" s="18">
        <f>$C6*(1+$D6)^(J$4-2025)</f>
        <v>60646771.038275972</v>
      </c>
      <c r="K6" s="18">
        <f>$C6*(1+$D6)^(K$4-2025)</f>
        <v>63636440.155614205</v>
      </c>
      <c r="L6" s="18">
        <f>$C6*(1+$D6)^(L$4-2025)</f>
        <v>66773489.278155424</v>
      </c>
      <c r="M6" s="18">
        <f>$C6*(1+$D6)^(M$4-2025)</f>
        <v>70065183.713557824</v>
      </c>
      <c r="N6" s="18">
        <f>$C6*(1+$D6)^(N$4-2025)</f>
        <v>73519146.923187718</v>
      </c>
      <c r="O6" s="18">
        <f>$C6*(1+$D6)^(O$4-2025)</f>
        <v>77143378.177817672</v>
      </c>
      <c r="P6" s="18">
        <f>$C6*(1+$D6)^(P$4-2025)</f>
        <v>80946271.083687395</v>
      </c>
      <c r="Q6" s="18">
        <f>$C6*(1+$D6)^(Q$4-2025)</f>
        <v>84936633.021833345</v>
      </c>
      <c r="R6" s="18">
        <f>$C6*(1+$D6)^(R$4-2025)</f>
        <v>89123705.545707703</v>
      </c>
      <c r="S6" s="18">
        <f>$C6*(1+$D6)^(S$4-2025)</f>
        <v>93517185.784327224</v>
      </c>
      <c r="T6" s="18">
        <f>$C6*(1+$D6)^(T$4-2025)</f>
        <v>98127248.900520667</v>
      </c>
      <c r="U6" s="18">
        <f>$C6*(1+$D6)^(U$4-2025)</f>
        <v>102964571.65628774</v>
      </c>
      <c r="V6" s="18">
        <f>$C6*(1+$D6)^(V$4-2025)</f>
        <v>108040357.139846</v>
      </c>
      <c r="W6" s="18">
        <f>$C6*(1+$D6)^(W$4-2025)</f>
        <v>113366360.71163274</v>
      </c>
      <c r="X6" s="18">
        <f>$C6*(1+$D6)^(X$4-2025)</f>
        <v>118954917.22935213</v>
      </c>
    </row>
    <row r="7" spans="1:24">
      <c r="A7" s="22" t="str">
        <f>'Historical FY16-FY25'!A7</f>
        <v>Alleghany County</v>
      </c>
      <c r="B7" s="22" t="str">
        <f>'Historical FY16-FY25'!B7</f>
        <v>County</v>
      </c>
      <c r="C7" s="23">
        <f>'Historical FY16-FY25'!H7</f>
        <v>3604117</v>
      </c>
      <c r="D7" s="10">
        <f>MIN(Assumptions!$B$27,MAX(Assumptions!$B$26,Assumptions!$B$24+Assumptions!$B$25*('Historical FY16-FY25'!J7-Assumptions!$B$20)))</f>
        <v>3.0452822030533788E-2</v>
      </c>
      <c r="E7" s="15">
        <f>$C7*(1+$D7)^(E$4-2025)</f>
        <v>3713872.5335782212</v>
      </c>
      <c r="F7" s="15">
        <f>$C7*(1+$D7)^(F$4-2025)</f>
        <v>3826970.432887367</v>
      </c>
      <c r="G7" s="15">
        <f>$C7*(1+$D7)^(G$4-2025)</f>
        <v>3943512.4823962008</v>
      </c>
      <c r="H7" s="15">
        <f>$C7*(1+$D7)^(H$4-2025)</f>
        <v>4063603.5661978009</v>
      </c>
      <c r="I7" s="15">
        <f>$C7*(1+$D7)^(I$4-2025)</f>
        <v>4187351.7624018649</v>
      </c>
      <c r="J7" s="15">
        <f>$C7*(1+$D7)^(J$4-2025)</f>
        <v>4314868.4404015308</v>
      </c>
      <c r="K7" s="15">
        <f>$C7*(1+$D7)^(K$4-2025)</f>
        <v>4446268.3611022457</v>
      </c>
      <c r="L7" s="15">
        <f>$C7*(1+$D7)^(L$4-2025)</f>
        <v>4581669.7802028861</v>
      </c>
      <c r="M7" s="15">
        <f>$C7*(1+$D7)^(M$4-2025)</f>
        <v>4721194.5546220802</v>
      </c>
      <c r="N7" s="15">
        <f>$C7*(1+$D7)^(N$4-2025)</f>
        <v>4864968.2521655113</v>
      </c>
      <c r="O7" s="15">
        <f>$C7*(1+$D7)^(O$4-2025)</f>
        <v>5013120.2645329051</v>
      </c>
      <c r="P7" s="15">
        <f>$C7*(1+$D7)^(P$4-2025)</f>
        <v>5165783.9237663886</v>
      </c>
      <c r="Q7" s="15">
        <f>$C7*(1+$D7)^(Q$4-2025)</f>
        <v>5323096.6222450389</v>
      </c>
      <c r="R7" s="15">
        <f>$C7*(1+$D7)^(R$4-2025)</f>
        <v>5485199.9363336032</v>
      </c>
      <c r="S7" s="15">
        <f>$C7*(1+$D7)^(S$4-2025)</f>
        <v>5652239.753796665</v>
      </c>
      <c r="T7" s="15">
        <f>$C7*(1+$D7)^(T$4-2025)</f>
        <v>5824366.4050929444</v>
      </c>
      <c r="U7" s="15">
        <f>$C7*(1+$D7)^(U$4-2025)</f>
        <v>6001734.7986678602</v>
      </c>
      <c r="V7" s="15">
        <f>$C7*(1+$D7)^(V$4-2025)</f>
        <v>6184504.5603661537</v>
      </c>
      <c r="W7" s="15">
        <f>$C7*(1+$D7)^(W$4-2025)</f>
        <v>6372840.1770900087</v>
      </c>
      <c r="X7" s="15">
        <f>$C7*(1+$D7)^(X$4-2025)</f>
        <v>6566911.1448319666</v>
      </c>
    </row>
    <row r="8" spans="1:24">
      <c r="A8" s="24" t="str">
        <f>'Historical FY16-FY25'!A8</f>
        <v>Amelia County</v>
      </c>
      <c r="B8" s="24" t="str">
        <f>'Historical FY16-FY25'!B8</f>
        <v>County</v>
      </c>
      <c r="C8" s="25">
        <f>'Historical FY16-FY25'!H8</f>
        <v>3693984</v>
      </c>
      <c r="D8" s="19">
        <f>MIN(Assumptions!$B$27,MAX(Assumptions!$B$26,Assumptions!$B$24+Assumptions!$B$25*('Historical FY16-FY25'!J8-Assumptions!$B$20)))</f>
        <v>4.6320238926338519E-2</v>
      </c>
      <c r="E8" s="18">
        <f>$C8*(1+$D8)^(E$4-2025)</f>
        <v>3865090.2214700715</v>
      </c>
      <c r="F8" s="18">
        <f>$C8*(1+$D8)^(F$4-2025)</f>
        <v>4044122.1240004189</v>
      </c>
      <c r="G8" s="18">
        <f>$C8*(1+$D8)^(G$4-2025)</f>
        <v>4231446.8270314094</v>
      </c>
      <c r="H8" s="18">
        <f>$C8*(1+$D8)^(H$4-2025)</f>
        <v>4427448.4550636001</v>
      </c>
      <c r="I8" s="18">
        <f>$C8*(1+$D8)^(I$4-2025)</f>
        <v>4632528.9253361942</v>
      </c>
      <c r="J8" s="18">
        <f>$C8*(1+$D8)^(J$4-2025)</f>
        <v>4847108.77199094</v>
      </c>
      <c r="K8" s="18">
        <f>$C8*(1+$D8)^(K$4-2025)</f>
        <v>5071628.0084115118</v>
      </c>
      <c r="L8" s="18">
        <f>$C8*(1+$D8)^(L$4-2025)</f>
        <v>5306547.0295066424</v>
      </c>
      <c r="M8" s="18">
        <f>$C8*(1+$D8)^(M$4-2025)</f>
        <v>5552347.5557872411</v>
      </c>
      <c r="N8" s="18">
        <f>$C8*(1+$D8)^(N$4-2025)</f>
        <v>5809533.6211733762</v>
      </c>
      <c r="O8" s="18">
        <f>$C8*(1+$D8)^(O$4-2025)</f>
        <v>6078632.6065567238</v>
      </c>
      <c r="P8" s="18">
        <f>$C8*(1+$D8)^(P$4-2025)</f>
        <v>6360196.3212378612</v>
      </c>
      <c r="Q8" s="18">
        <f>$C8*(1+$D8)^(Q$4-2025)</f>
        <v>6654802.134456018</v>
      </c>
      <c r="R8" s="18">
        <f>$C8*(1+$D8)^(R$4-2025)</f>
        <v>6963054.1593315266</v>
      </c>
      <c r="S8" s="18">
        <f>$C8*(1+$D8)^(S$4-2025)</f>
        <v>7285584.4916487969</v>
      </c>
      <c r="T8" s="18">
        <f>$C8*(1+$D8)^(T$4-2025)</f>
        <v>7623054.5060199946</v>
      </c>
      <c r="U8" s="18">
        <f>$C8*(1+$D8)^(U$4-2025)</f>
        <v>7976156.2120873407</v>
      </c>
      <c r="V8" s="18">
        <f>$C8*(1+$D8)^(V$4-2025)</f>
        <v>8345613.6735450244</v>
      </c>
      <c r="W8" s="18">
        <f>$C8*(1+$D8)^(W$4-2025)</f>
        <v>8732184.492890548</v>
      </c>
      <c r="X8" s="18">
        <f>$C8*(1+$D8)^(X$4-2025)</f>
        <v>9136661.3649501055</v>
      </c>
    </row>
    <row r="9" spans="1:24">
      <c r="A9" s="22" t="str">
        <f>'Historical FY16-FY25'!A9</f>
        <v>Amherst County</v>
      </c>
      <c r="B9" s="22" t="str">
        <f>'Historical FY16-FY25'!B9</f>
        <v>County</v>
      </c>
      <c r="C9" s="23">
        <f>'Historical FY16-FY25'!H9</f>
        <v>9873279</v>
      </c>
      <c r="D9" s="10">
        <f>MIN(Assumptions!$B$27,MAX(Assumptions!$B$26,Assumptions!$B$24+Assumptions!$B$25*('Historical FY16-FY25'!J9-Assumptions!$B$20)))</f>
        <v>4.4451560135465806E-2</v>
      </c>
      <c r="E9" s="15">
        <f>$C9*(1+$D9)^(E$4-2025)</f>
        <v>10312161.655202731</v>
      </c>
      <c r="F9" s="15">
        <f>$C9*(1+$D9)^(F$4-2025)</f>
        <v>10770553.329145622</v>
      </c>
      <c r="G9" s="15">
        <f>$C9*(1+$D9)^(G$4-2025)</f>
        <v>11249321.22814838</v>
      </c>
      <c r="H9" s="15">
        <f>$C9*(1+$D9)^(H$4-2025)</f>
        <v>11749371.10720459</v>
      </c>
      <c r="I9" s="15">
        <f>$C9*(1+$D9)^(I$4-2025)</f>
        <v>12271648.983530398</v>
      </c>
      <c r="J9" s="15">
        <f>$C9*(1+$D9)^(J$4-2025)</f>
        <v>12817142.92628313</v>
      </c>
      <c r="K9" s="15">
        <f>$C9*(1+$D9)^(K$4-2025)</f>
        <v>13386884.925835665</v>
      </c>
      <c r="L9" s="15">
        <f>$C9*(1+$D9)^(L$4-2025)</f>
        <v>13981952.846143009</v>
      </c>
      <c r="M9" s="15">
        <f>$C9*(1+$D9)^(M$4-2025)</f>
        <v>14603472.463894583</v>
      </c>
      <c r="N9" s="15">
        <f>$C9*(1+$D9)^(N$4-2025)</f>
        <v>15252619.598310012</v>
      </c>
      <c r="O9" s="15">
        <f>$C9*(1+$D9)^(O$4-2025)</f>
        <v>15930622.335607676</v>
      </c>
      <c r="P9" s="15">
        <f>$C9*(1+$D9)^(P$4-2025)</f>
        <v>16638763.352354335</v>
      </c>
      <c r="Q9" s="15">
        <f>$C9*(1+$D9)^(Q$4-2025)</f>
        <v>17378382.3420913</v>
      </c>
      <c r="R9" s="15">
        <f>$C9*(1+$D9)^(R$4-2025)</f>
        <v>18150878.549827889</v>
      </c>
      <c r="S9" s="15">
        <f>$C9*(1+$D9)^(S$4-2025)</f>
        <v>18957713.419197101</v>
      </c>
      <c r="T9" s="15">
        <f>$C9*(1+$D9)^(T$4-2025)</f>
        <v>19800413.357281465</v>
      </c>
      <c r="U9" s="15">
        <f>$C9*(1+$D9)^(U$4-2025)</f>
        <v>20680572.622339744</v>
      </c>
      <c r="V9" s="15">
        <f>$C9*(1+$D9)^(V$4-2025)</f>
        <v>21599856.339897551</v>
      </c>
      <c r="W9" s="15">
        <f>$C9*(1+$D9)^(W$4-2025)</f>
        <v>22560003.652907927</v>
      </c>
      <c r="X9" s="15">
        <f>$C9*(1+$D9)^(X$4-2025)</f>
        <v>23562831.011941493</v>
      </c>
    </row>
    <row r="10" spans="1:24">
      <c r="A10" s="24" t="str">
        <f>'Historical FY16-FY25'!A10</f>
        <v>Appomattox County</v>
      </c>
      <c r="B10" s="24" t="str">
        <f>'Historical FY16-FY25'!B10</f>
        <v>County</v>
      </c>
      <c r="C10" s="25">
        <f>'Historical FY16-FY25'!H10</f>
        <v>5150967</v>
      </c>
      <c r="D10" s="19">
        <f>MIN(Assumptions!$B$27,MAX(Assumptions!$B$26,Assumptions!$B$24+Assumptions!$B$25*('Historical FY16-FY25'!J10-Assumptions!$B$20)))</f>
        <v>4.7968775654217644E-2</v>
      </c>
      <c r="E10" s="18">
        <f>$C10*(1+$D10)^(E$4-2025)</f>
        <v>5398052.5804252792</v>
      </c>
      <c r="F10" s="18">
        <f>$C10*(1+$D10)^(F$4-2025)</f>
        <v>5656990.5536253704</v>
      </c>
      <c r="G10" s="18">
        <f>$C10*(1+$D10)^(G$4-2025)</f>
        <v>5928349.4643702544</v>
      </c>
      <c r="H10" s="18">
        <f>$C10*(1+$D10)^(H$4-2025)</f>
        <v>6212725.129826433</v>
      </c>
      <c r="I10" s="18">
        <f>$C10*(1+$D10)^(I$4-2025)</f>
        <v>6510741.9477803987</v>
      </c>
      <c r="J10" s="18">
        <f>$C10*(1+$D10)^(J$4-2025)</f>
        <v>6823054.2676159805</v>
      </c>
      <c r="K10" s="18">
        <f>$C10*(1+$D10)^(K$4-2025)</f>
        <v>7150347.8270558044</v>
      </c>
      <c r="L10" s="18">
        <f>$C10*(1+$D10)^(L$4-2025)</f>
        <v>7493341.2578214686</v>
      </c>
      <c r="M10" s="18">
        <f>$C10*(1+$D10)^(M$4-2025)</f>
        <v>7852787.6635183999</v>
      </c>
      <c r="N10" s="18">
        <f>$C10*(1+$D10)^(N$4-2025)</f>
        <v>8229476.2732099229</v>
      </c>
      <c r="O10" s="18">
        <f>$C10*(1+$D10)^(O$4-2025)</f>
        <v>8624234.1743112374</v>
      </c>
      <c r="P10" s="18">
        <f>$C10*(1+$D10)^(P$4-2025)</f>
        <v>9037928.12860821</v>
      </c>
      <c r="Q10" s="18">
        <f>$C10*(1+$D10)^(Q$4-2025)</f>
        <v>9471466.475388363</v>
      </c>
      <c r="R10" s="18">
        <f>$C10*(1+$D10)^(R$4-2025)</f>
        <v>9925801.1258627102</v>
      </c>
      <c r="S10" s="18">
        <f>$C10*(1+$D10)^(S$4-2025)</f>
        <v>10401929.653257601</v>
      </c>
      <c r="T10" s="18">
        <f>$C10*(1+$D10)^(T$4-2025)</f>
        <v>10900897.48316567</v>
      </c>
      <c r="U10" s="18">
        <f>$C10*(1+$D10)^(U$4-2025)</f>
        <v>11423800.18896527</v>
      </c>
      <c r="V10" s="18">
        <f>$C10*(1+$D10)^(V$4-2025)</f>
        <v>11971785.897348356</v>
      </c>
      <c r="W10" s="18">
        <f>$C10*(1+$D10)^(W$4-2025)</f>
        <v>12546057.809238587</v>
      </c>
      <c r="X10" s="18">
        <f>$C10*(1+$D10)^(X$4-2025)</f>
        <v>13147876.841634801</v>
      </c>
    </row>
    <row r="11" spans="1:24">
      <c r="A11" s="22" t="str">
        <f>'Historical FY16-FY25'!A11</f>
        <v>Arlington County</v>
      </c>
      <c r="B11" s="22" t="str">
        <f>'Historical FY16-FY25'!B11</f>
        <v>County</v>
      </c>
      <c r="C11" s="23">
        <f>'Historical FY16-FY25'!H11</f>
        <v>89276918</v>
      </c>
      <c r="D11" s="10">
        <f>MIN(Assumptions!$B$27,MAX(Assumptions!$B$26,Assumptions!$B$24+Assumptions!$B$25*('Historical FY16-FY25'!J11-Assumptions!$B$20)))</f>
        <v>4.1409246430360147E-2</v>
      </c>
      <c r="E11" s="15">
        <f>$C11*(1+$D11)^(E$4-2025)</f>
        <v>92973807.898005053</v>
      </c>
      <c r="F11" s="15">
        <f>$C11*(1+$D11)^(F$4-2025)</f>
        <v>96823783.220822513</v>
      </c>
      <c r="G11" s="15">
        <f>$C11*(1+$D11)^(G$4-2025)</f>
        <v>100833183.12053332</v>
      </c>
      <c r="H11" s="15">
        <f>$C11*(1+$D11)^(H$4-2025)</f>
        <v>105008609.24872912</v>
      </c>
      <c r="I11" s="15">
        <f>$C11*(1+$D11)^(I$4-2025)</f>
        <v>109356936.62641916</v>
      </c>
      <c r="J11" s="15">
        <f>$C11*(1+$D11)^(J$4-2025)</f>
        <v>113885324.96405181</v>
      </c>
      <c r="K11" s="15">
        <f>$C11*(1+$D11)^(K$4-2025)</f>
        <v>118601230.45028989</v>
      </c>
      <c r="L11" s="15">
        <f>$C11*(1+$D11)^(L$4-2025)</f>
        <v>123512418.02894989</v>
      </c>
      <c r="M11" s="15">
        <f>$C11*(1+$D11)^(M$4-2025)</f>
        <v>128626974.18432033</v>
      </c>
      <c r="N11" s="15">
        <f>$C11*(1+$D11)^(N$4-2025)</f>
        <v>133953320.25591043</v>
      </c>
      <c r="O11" s="15">
        <f>$C11*(1+$D11)^(O$4-2025)</f>
        <v>139500226.30455238</v>
      </c>
      <c r="P11" s="15">
        <f>$C11*(1+$D11)^(P$4-2025)</f>
        <v>145276825.55268863</v>
      </c>
      <c r="Q11" s="15">
        <f>$C11*(1+$D11)^(Q$4-2025)</f>
        <v>151292629.42262036</v>
      </c>
      <c r="R11" s="15">
        <f>$C11*(1+$D11)^(R$4-2025)</f>
        <v>157557543.19747877</v>
      </c>
      <c r="S11" s="15">
        <f>$C11*(1+$D11)^(S$4-2025)</f>
        <v>164081882.33070531</v>
      </c>
      <c r="T11" s="15">
        <f>$C11*(1+$D11)^(T$4-2025)</f>
        <v>170876389.43089485</v>
      </c>
      <c r="U11" s="15">
        <f>$C11*(1+$D11)^(U$4-2025)</f>
        <v>177952251.94996896</v>
      </c>
      <c r="V11" s="15">
        <f>$C11*(1+$D11)^(V$4-2025)</f>
        <v>185321120.6038028</v>
      </c>
      <c r="W11" s="15">
        <f>$C11*(1+$D11)^(W$4-2025)</f>
        <v>192995128.55563611</v>
      </c>
      <c r="X11" s="15">
        <f>$C11*(1+$D11)^(X$4-2025)</f>
        <v>200986911.39385554</v>
      </c>
    </row>
    <row r="12" spans="1:24">
      <c r="A12" s="24" t="str">
        <f>'Historical FY16-FY25'!A12</f>
        <v>Augusta County</v>
      </c>
      <c r="B12" s="24" t="str">
        <f>'Historical FY16-FY25'!B12</f>
        <v>County</v>
      </c>
      <c r="C12" s="25">
        <f>'Historical FY16-FY25'!H12</f>
        <v>22914063</v>
      </c>
      <c r="D12" s="19">
        <f>MIN(Assumptions!$B$27,MAX(Assumptions!$B$26,Assumptions!$B$24+Assumptions!$B$25*('Historical FY16-FY25'!J12-Assumptions!$B$20)))</f>
        <v>4.6558954791144358E-2</v>
      </c>
      <c r="E12" s="18">
        <f>$C12*(1+$D12)^(E$4-2025)</f>
        <v>23980917.823298436</v>
      </c>
      <c r="F12" s="18">
        <f>$C12*(1+$D12)^(F$4-2025)</f>
        <v>25097444.292083539</v>
      </c>
      <c r="G12" s="18">
        <f>$C12*(1+$D12)^(G$4-2025)</f>
        <v>26265955.066251922</v>
      </c>
      <c r="H12" s="18">
        <f>$C12*(1+$D12)^(H$4-2025)</f>
        <v>27488870.480727773</v>
      </c>
      <c r="I12" s="18">
        <f>$C12*(1+$D12)^(I$4-2025)</f>
        <v>28768723.558699608</v>
      </c>
      <c r="J12" s="18">
        <f>$C12*(1+$D12)^(J$4-2025)</f>
        <v>30108165.258268032</v>
      </c>
      <c r="K12" s="18">
        <f>$C12*(1+$D12)^(K$4-2025)</f>
        <v>31509969.963372041</v>
      </c>
      <c r="L12" s="18">
        <f>$C12*(1+$D12)^(L$4-2025)</f>
        <v>32977041.230366994</v>
      </c>
      <c r="M12" s="18">
        <f>$C12*(1+$D12)^(M$4-2025)</f>
        <v>34512417.802157357</v>
      </c>
      <c r="N12" s="18">
        <f>$C12*(1+$D12)^(N$4-2025)</f>
        <v>36119279.90234109</v>
      </c>
      <c r="O12" s="18">
        <f>$C12*(1+$D12)^(O$4-2025)</f>
        <v>37800955.82240288</v>
      </c>
      <c r="P12" s="18">
        <f>$C12*(1+$D12)^(P$4-2025)</f>
        <v>39560928.815600179</v>
      </c>
      <c r="Q12" s="18">
        <f>$C12*(1+$D12)^(Q$4-2025)</f>
        <v>41402844.311821401</v>
      </c>
      <c r="R12" s="18">
        <f>$C12*(1+$D12)^(R$4-2025)</f>
        <v>43330517.468360282</v>
      </c>
      <c r="S12" s="18">
        <f>$C12*(1+$D12)^(S$4-2025)</f>
        <v>45347941.072246566</v>
      </c>
      <c r="T12" s="18">
        <f>$C12*(1+$D12)^(T$4-2025)</f>
        <v>47459293.810500771</v>
      </c>
      <c r="U12" s="18">
        <f>$C12*(1+$D12)^(U$4-2025)</f>
        <v>49668948.925443515</v>
      </c>
      <c r="V12" s="18">
        <f>$C12*(1+$D12)^(V$4-2025)</f>
        <v>51981483.272986904</v>
      </c>
      <c r="W12" s="18">
        <f>$C12*(1+$D12)^(W$4-2025)</f>
        <v>54401686.802670531</v>
      </c>
      <c r="X12" s="18">
        <f>$C12*(1+$D12)^(X$4-2025)</f>
        <v>56934572.479078062</v>
      </c>
    </row>
    <row r="13" spans="1:24">
      <c r="A13" s="22" t="str">
        <f>'Historical FY16-FY25'!A13</f>
        <v>Bath County</v>
      </c>
      <c r="B13" s="22" t="str">
        <f>'Historical FY16-FY25'!B13</f>
        <v>County</v>
      </c>
      <c r="C13" s="23">
        <f>'Historical FY16-FY25'!H13</f>
        <v>1885159</v>
      </c>
      <c r="D13" s="10">
        <f>MIN(Assumptions!$B$27,MAX(Assumptions!$B$26,Assumptions!$B$24+Assumptions!$B$25*('Historical FY16-FY25'!J13-Assumptions!$B$20)))</f>
        <v>4.8539703065038631E-2</v>
      </c>
      <c r="E13" s="15">
        <f>$C13*(1+$D13)^(E$4-2025)</f>
        <v>1976664.058090385</v>
      </c>
      <c r="F13" s="15">
        <f>$C13*(1+$D13)^(F$4-2025)</f>
        <v>2072610.7445294261</v>
      </c>
      <c r="G13" s="15">
        <f>$C13*(1+$D13)^(G$4-2025)</f>
        <v>2173214.6546382927</v>
      </c>
      <c r="H13" s="15">
        <f>$C13*(1+$D13)^(H$4-2025)</f>
        <v>2278701.8486710261</v>
      </c>
      <c r="I13" s="15">
        <f>$C13*(1+$D13)^(I$4-2025)</f>
        <v>2389309.3597792718</v>
      </c>
      <c r="J13" s="15">
        <f>$C13*(1+$D13)^(J$4-2025)</f>
        <v>2505285.7266334747</v>
      </c>
      <c r="K13" s="15">
        <f>$C13*(1+$D13)^(K$4-2025)</f>
        <v>2626891.5518973428</v>
      </c>
      <c r="L13" s="15">
        <f>$C13*(1+$D13)^(L$4-2025)</f>
        <v>2754400.0878104977</v>
      </c>
      <c r="M13" s="15">
        <f>$C13*(1+$D13)^(M$4-2025)</f>
        <v>2888097.8501951355</v>
      </c>
      <c r="N13" s="15">
        <f>$C13*(1+$D13)^(N$4-2025)</f>
        <v>3028285.2622663835</v>
      </c>
      <c r="O13" s="15">
        <f>$C13*(1+$D13)^(O$4-2025)</f>
        <v>3175277.3296930259</v>
      </c>
      <c r="P13" s="15">
        <f>$C13*(1+$D13)^(P$4-2025)</f>
        <v>3329404.3484254736</v>
      </c>
      <c r="Q13" s="15">
        <f>$C13*(1+$D13)^(Q$4-2025)</f>
        <v>3491012.6468814947</v>
      </c>
      <c r="R13" s="15">
        <f>$C13*(1+$D13)^(R$4-2025)</f>
        <v>3660465.3641574159</v>
      </c>
      <c r="S13" s="15">
        <f>$C13*(1+$D13)^(S$4-2025)</f>
        <v>3838143.2660134751</v>
      </c>
      <c r="T13" s="15">
        <f>$C13*(1+$D13)^(T$4-2025)</f>
        <v>4024445.6004668456</v>
      </c>
      <c r="U13" s="15">
        <f>$C13*(1+$D13)^(U$4-2025)</f>
        <v>4219790.994914907</v>
      </c>
      <c r="V13" s="15">
        <f>$C13*(1+$D13)^(V$4-2025)</f>
        <v>4424618.3968046</v>
      </c>
      <c r="W13" s="15">
        <f>$C13*(1+$D13)^(W$4-2025)</f>
        <v>4639388.0599616021</v>
      </c>
      <c r="X13" s="15">
        <f>$C13*(1+$D13)^(X$4-2025)</f>
        <v>4864582.5787956221</v>
      </c>
    </row>
    <row r="14" spans="1:24">
      <c r="A14" s="24" t="str">
        <f>'Historical FY16-FY25'!A14</f>
        <v>Bedford County</v>
      </c>
      <c r="B14" s="24" t="str">
        <f>'Historical FY16-FY25'!B14</f>
        <v>County</v>
      </c>
      <c r="C14" s="25">
        <f>'Historical FY16-FY25'!H14</f>
        <v>24297002</v>
      </c>
      <c r="D14" s="19">
        <f>MIN(Assumptions!$B$27,MAX(Assumptions!$B$26,Assumptions!$B$24+Assumptions!$B$25*('Historical FY16-FY25'!J14-Assumptions!$B$20)))</f>
        <v>4.5642297482934913E-2</v>
      </c>
      <c r="E14" s="18">
        <f>$C14*(1+$D14)^(E$4-2025)</f>
        <v>25405972.993227463</v>
      </c>
      <c r="F14" s="18">
        <f>$C14*(1+$D14)^(F$4-2025)</f>
        <v>26565559.970427766</v>
      </c>
      <c r="G14" s="18">
        <f>$C14*(1+$D14)^(G$4-2025)</f>
        <v>27778073.16139878</v>
      </c>
      <c r="H14" s="18">
        <f>$C14*(1+$D14)^(H$4-2025)</f>
        <v>29045928.240134072</v>
      </c>
      <c r="I14" s="18">
        <f>$C14*(1+$D14)^(I$4-2025)</f>
        <v>30371651.137538247</v>
      </c>
      <c r="J14" s="18">
        <f>$C14*(1+$D14)^(J$4-2025)</f>
        <v>31757883.073805694</v>
      </c>
      <c r="K14" s="18">
        <f>$C14*(1+$D14)^(K$4-2025)</f>
        <v>33207385.820488598</v>
      </c>
      <c r="L14" s="18">
        <f>$C14*(1+$D14)^(L$4-2025)</f>
        <v>34723047.202737927</v>
      </c>
      <c r="M14" s="18">
        <f>$C14*(1+$D14)^(M$4-2025)</f>
        <v>36307886.85267929</v>
      </c>
      <c r="N14" s="18">
        <f>$C14*(1+$D14)^(N$4-2025)</f>
        <v>37965062.225386016</v>
      </c>
      <c r="O14" s="18">
        <f>$C14*(1+$D14)^(O$4-2025)</f>
        <v>39697874.889435224</v>
      </c>
      <c r="P14" s="18">
        <f>$C14*(1+$D14)^(P$4-2025)</f>
        <v>41509777.104579151</v>
      </c>
      <c r="Q14" s="18">
        <f>$C14*(1+$D14)^(Q$4-2025)</f>
        <v>43404378.699636675</v>
      </c>
      <c r="R14" s="18">
        <f>$C14*(1+$D14)^(R$4-2025)</f>
        <v>45385454.264307462</v>
      </c>
      <c r="S14" s="18">
        <f>$C14*(1+$D14)^(S$4-2025)</f>
        <v>47456950.669237129</v>
      </c>
      <c r="T14" s="18">
        <f>$C14*(1+$D14)^(T$4-2025)</f>
        <v>49622994.929315411</v>
      </c>
      <c r="U14" s="18">
        <f>$C14*(1+$D14)^(U$4-2025)</f>
        <v>51887902.425873399</v>
      </c>
      <c r="V14" s="18">
        <f>$C14*(1+$D14)^(V$4-2025)</f>
        <v>54256185.504160613</v>
      </c>
      <c r="W14" s="18">
        <f>$C14*(1+$D14)^(W$4-2025)</f>
        <v>56732562.463230819</v>
      </c>
      <c r="X14" s="18">
        <f>$C14*(1+$D14)^(X$4-2025)</f>
        <v>59321966.956146784</v>
      </c>
    </row>
    <row r="15" spans="1:24">
      <c r="A15" s="22" t="str">
        <f>'Historical FY16-FY25'!A15</f>
        <v>Bland County</v>
      </c>
      <c r="B15" s="22" t="str">
        <f>'Historical FY16-FY25'!B15</f>
        <v>County</v>
      </c>
      <c r="C15" s="23">
        <f>'Historical FY16-FY25'!H15</f>
        <v>1404825</v>
      </c>
      <c r="D15" s="10">
        <f>MIN(Assumptions!$B$27,MAX(Assumptions!$B$26,Assumptions!$B$24+Assumptions!$B$25*('Historical FY16-FY25'!J15-Assumptions!$B$20)))</f>
        <v>3.6061221006493782E-2</v>
      </c>
      <c r="E15" s="15">
        <f>$C15*(1+$D15)^(E$4-2025)</f>
        <v>1455484.7048004474</v>
      </c>
      <c r="F15" s="15">
        <f>$C15*(1+$D15)^(F$4-2025)</f>
        <v>1507971.2604118276</v>
      </c>
      <c r="G15" s="15">
        <f>$C15*(1+$D15)^(G$4-2025)</f>
        <v>1562350.5453049792</v>
      </c>
      <c r="H15" s="15">
        <f>$C15*(1+$D15)^(H$4-2025)</f>
        <v>1618690.8136088378</v>
      </c>
      <c r="I15" s="15">
        <f>$C15*(1+$D15)^(I$4-2025)</f>
        <v>1677062.7807795671</v>
      </c>
      <c r="J15" s="15">
        <f>$C15*(1+$D15)^(J$4-2025)</f>
        <v>1737539.712359024</v>
      </c>
      <c r="K15" s="15">
        <f>$C15*(1+$D15)^(K$4-2025)</f>
        <v>1800197.5159339621</v>
      </c>
      <c r="L15" s="15">
        <f>$C15*(1+$D15)^(L$4-2025)</f>
        <v>1865114.8364113974</v>
      </c>
      <c r="M15" s="15">
        <f>$C15*(1+$D15)^(M$4-2025)</f>
        <v>1932373.154729719</v>
      </c>
      <c r="N15" s="15">
        <f>$C15*(1+$D15)^(N$4-2025)</f>
        <v>2002056.8901294428</v>
      </c>
      <c r="O15" s="15">
        <f>$C15*(1+$D15)^(O$4-2025)</f>
        <v>2074253.5061119737</v>
      </c>
      <c r="P15" s="15">
        <f>$C15*(1+$D15)^(P$4-2025)</f>
        <v>2149053.6202193722</v>
      </c>
      <c r="Q15" s="15">
        <f>$C15*(1+$D15)^(Q$4-2025)</f>
        <v>2226551.1177729079</v>
      </c>
      <c r="R15" s="15">
        <f>$C15*(1+$D15)^(R$4-2025)</f>
        <v>2306843.2697131727</v>
      </c>
      <c r="S15" s="15">
        <f>$C15*(1+$D15)^(S$4-2025)</f>
        <v>2390030.8546896419</v>
      </c>
      <c r="T15" s="15">
        <f>$C15*(1+$D15)^(T$4-2025)</f>
        <v>2476218.2855529431</v>
      </c>
      <c r="U15" s="15">
        <f>$C15*(1+$D15)^(U$4-2025)</f>
        <v>2565513.7404085887</v>
      </c>
      <c r="V15" s="15">
        <f>$C15*(1+$D15)^(V$4-2025)</f>
        <v>2658029.2983966591</v>
      </c>
      <c r="W15" s="15">
        <f>$C15*(1+$D15)^(W$4-2025)</f>
        <v>2753881.0803678758</v>
      </c>
      <c r="X15" s="15">
        <f>$C15*(1+$D15)^(X$4-2025)</f>
        <v>2853189.3946326231</v>
      </c>
    </row>
    <row r="16" spans="1:24">
      <c r="A16" s="24" t="str">
        <f>'Historical FY16-FY25'!A16</f>
        <v>Botetourt County</v>
      </c>
      <c r="B16" s="24" t="str">
        <f>'Historical FY16-FY25'!B16</f>
        <v>County</v>
      </c>
      <c r="C16" s="25">
        <f>'Historical FY16-FY25'!H16</f>
        <v>10453864</v>
      </c>
      <c r="D16" s="19">
        <f>MIN(Assumptions!$B$27,MAX(Assumptions!$B$26,Assumptions!$B$24+Assumptions!$B$25*('Historical FY16-FY25'!J16-Assumptions!$B$20)))</f>
        <v>4.2534742526188052E-2</v>
      </c>
      <c r="E16" s="18">
        <f>$C16*(1+$D16)^(E$4-2025)</f>
        <v>10898516.413643785</v>
      </c>
      <c r="F16" s="18">
        <f>$C16*(1+$D16)^(F$4-2025)</f>
        <v>11362082.003215555</v>
      </c>
      <c r="G16" s="18">
        <f>$C16*(1+$D16)^(G$4-2025)</f>
        <v>11845365.235783763</v>
      </c>
      <c r="H16" s="18">
        <f>$C16*(1+$D16)^(H$4-2025)</f>
        <v>12349204.796216482</v>
      </c>
      <c r="I16" s="18">
        <f>$C16*(1+$D16)^(I$4-2025)</f>
        <v>12874475.042626716</v>
      </c>
      <c r="J16" s="18">
        <f>$C16*(1+$D16)^(J$4-2025)</f>
        <v>13422087.523724673</v>
      </c>
      <c r="K16" s="18">
        <f>$C16*(1+$D16)^(K$4-2025)</f>
        <v>13992992.560710263</v>
      </c>
      <c r="L16" s="18">
        <f>$C16*(1+$D16)^(L$4-2025)</f>
        <v>14588180.896450935</v>
      </c>
      <c r="M16" s="18">
        <f>$C16*(1+$D16)^(M$4-2025)</f>
        <v>15208685.414806928</v>
      </c>
      <c r="N16" s="18">
        <f>$C16*(1+$D16)^(N$4-2025)</f>
        <v>15855582.93308753</v>
      </c>
      <c r="O16" s="18">
        <f>$C16*(1+$D16)^(O$4-2025)</f>
        <v>16529996.070749028</v>
      </c>
      <c r="P16" s="18">
        <f>$C16*(1+$D16)^(P$4-2025)</f>
        <v>17233095.197577234</v>
      </c>
      <c r="Q16" s="18">
        <f>$C16*(1+$D16)^(Q$4-2025)</f>
        <v>17966100.464735467</v>
      </c>
      <c r="R16" s="18">
        <f>$C16*(1+$D16)^(R$4-2025)</f>
        <v>18730283.922202613</v>
      </c>
      <c r="S16" s="18">
        <f>$C16*(1+$D16)^(S$4-2025)</f>
        <v>19526971.726275902</v>
      </c>
      <c r="T16" s="18">
        <f>$C16*(1+$D16)^(T$4-2025)</f>
        <v>20357546.440969195</v>
      </c>
      <c r="U16" s="18">
        <f>$C16*(1+$D16)^(U$4-2025)</f>
        <v>21223449.437300734</v>
      </c>
      <c r="V16" s="18">
        <f>$C16*(1+$D16)^(V$4-2025)</f>
        <v>22126183.394633889</v>
      </c>
      <c r="W16" s="18">
        <f>$C16*(1+$D16)^(W$4-2025)</f>
        <v>23067314.908411853</v>
      </c>
      <c r="X16" s="18">
        <f>$C16*(1+$D16)^(X$4-2025)</f>
        <v>24048477.208811644</v>
      </c>
    </row>
    <row r="17" spans="1:24">
      <c r="A17" s="22" t="str">
        <f>'Historical FY16-FY25'!A17</f>
        <v>Brunswick County</v>
      </c>
      <c r="B17" s="22" t="str">
        <f>'Historical FY16-FY25'!B17</f>
        <v>County</v>
      </c>
      <c r="C17" s="23">
        <f>'Historical FY16-FY25'!H17</f>
        <v>3299968</v>
      </c>
      <c r="D17" s="10">
        <f>MIN(Assumptions!$B$27,MAX(Assumptions!$B$26,Assumptions!$B$24+Assumptions!$B$25*('Historical FY16-FY25'!J17-Assumptions!$B$20)))</f>
        <v>3.8664250112224741E-2</v>
      </c>
      <c r="E17" s="15">
        <f>$C17*(1+$D17)^(E$4-2025)</f>
        <v>3427558.7881143382</v>
      </c>
      <c r="F17" s="15">
        <f>$C17*(1+$D17)^(F$4-2025)</f>
        <v>3560082.7783723446</v>
      </c>
      <c r="G17" s="15">
        <f>$C17*(1+$D17)^(G$4-2025)</f>
        <v>3697730.7093355567</v>
      </c>
      <c r="H17" s="15">
        <f>$C17*(1+$D17)^(H$4-2025)</f>
        <v>3840700.69432896</v>
      </c>
      <c r="I17" s="15">
        <f>$C17*(1+$D17)^(I$4-2025)</f>
        <v>3989198.5065806904</v>
      </c>
      <c r="J17" s="15">
        <f>$C17*(1+$D17)^(J$4-2025)</f>
        <v>4143437.8753864393</v>
      </c>
      <c r="K17" s="15">
        <f>$C17*(1+$D17)^(K$4-2025)</f>
        <v>4303640.7937248461</v>
      </c>
      <c r="L17" s="15">
        <f>$C17*(1+$D17)^(L$4-2025)</f>
        <v>4470037.8377665961</v>
      </c>
      <c r="M17" s="15">
        <f>$C17*(1+$D17)^(M$4-2025)</f>
        <v>4642868.4987371117</v>
      </c>
      <c r="N17" s="15">
        <f>$C17*(1+$D17)^(N$4-2025)</f>
        <v>4822381.5276104528</v>
      </c>
      <c r="O17" s="15">
        <f>$C17*(1+$D17)^(O$4-2025)</f>
        <v>5008835.2931305561</v>
      </c>
      <c r="P17" s="15">
        <f>$C17*(1+$D17)^(P$4-2025)</f>
        <v>5202498.1536750924</v>
      </c>
      <c r="Q17" s="15">
        <f>$C17*(1+$D17)^(Q$4-2025)</f>
        <v>5403648.8434971739</v>
      </c>
      <c r="R17" s="15">
        <f>$C17*(1+$D17)^(R$4-2025)</f>
        <v>5612576.8739007823</v>
      </c>
      <c r="S17" s="15">
        <f>$C17*(1+$D17)^(S$4-2025)</f>
        <v>5829582.949927371</v>
      </c>
      <c r="T17" s="15">
        <f>$C17*(1+$D17)^(T$4-2025)</f>
        <v>6054979.4031533236</v>
      </c>
      <c r="U17" s="15">
        <f>$C17*(1+$D17)^(U$4-2025)</f>
        <v>6289090.6412212122</v>
      </c>
      <c r="V17" s="15">
        <f>$C17*(1+$D17)^(V$4-2025)</f>
        <v>6532253.6147518409</v>
      </c>
      <c r="W17" s="15">
        <f>$C17*(1+$D17)^(W$4-2025)</f>
        <v>6784818.3023090903</v>
      </c>
      <c r="X17" s="15">
        <f>$C17*(1+$D17)^(X$4-2025)</f>
        <v>7047148.2141155675</v>
      </c>
    </row>
    <row r="18" spans="1:24">
      <c r="A18" s="24" t="str">
        <f>'Historical FY16-FY25'!A18</f>
        <v>Buchanan County</v>
      </c>
      <c r="B18" s="24" t="str">
        <f>'Historical FY16-FY25'!B18</f>
        <v>County</v>
      </c>
      <c r="C18" s="25">
        <f>'Historical FY16-FY25'!H18</f>
        <v>5208754</v>
      </c>
      <c r="D18" s="19">
        <f>MIN(Assumptions!$B$27,MAX(Assumptions!$B$26,Assumptions!$B$24+Assumptions!$B$25*('Historical FY16-FY25'!J18-Assumptions!$B$20)))</f>
        <v>2.8201470035399856E-2</v>
      </c>
      <c r="E18" s="18">
        <f>$C18*(1+$D18)^(E$4-2025)</f>
        <v>5355648.5198527696</v>
      </c>
      <c r="F18" s="18">
        <f>$C18*(1+$D18)^(F$4-2025)</f>
        <v>5506685.6811055308</v>
      </c>
      <c r="G18" s="18">
        <f>$C18*(1+$D18)^(G$4-2025)</f>
        <v>5661982.3123355936</v>
      </c>
      <c r="H18" s="18">
        <f>$C18*(1+$D18)^(H$4-2025)</f>
        <v>5821658.53685789</v>
      </c>
      <c r="I18" s="18">
        <f>$C18*(1+$D18)^(I$4-2025)</f>
        <v>5985837.8656414179</v>
      </c>
      <c r="J18" s="18">
        <f>$C18*(1+$D18)^(J$4-2025)</f>
        <v>6154647.2928460659</v>
      </c>
      <c r="K18" s="18">
        <f>$C18*(1+$D18)^(K$4-2025)</f>
        <v>6328217.3940537199</v>
      </c>
      <c r="L18" s="18">
        <f>$C18*(1+$D18)^(L$4-2025)</f>
        <v>6506682.4272696218</v>
      </c>
      <c r="M18" s="18">
        <f>$C18*(1+$D18)^(M$4-2025)</f>
        <v>6690180.4367721286</v>
      </c>
      <c r="N18" s="18">
        <f>$C18*(1+$D18)^(N$4-2025)</f>
        <v>6878853.3598911772</v>
      </c>
      <c r="O18" s="18">
        <f>$C18*(1+$D18)^(O$4-2025)</f>
        <v>7072847.1367980577</v>
      </c>
      <c r="P18" s="18">
        <f>$C18*(1+$D18)^(P$4-2025)</f>
        <v>7272311.8233914319</v>
      </c>
      <c r="Q18" s="18">
        <f>$C18*(1+$D18)^(Q$4-2025)</f>
        <v>7477401.7073668903</v>
      </c>
      <c r="R18" s="18">
        <f>$C18*(1+$D18)^(R$4-2025)</f>
        <v>7688275.4275598442</v>
      </c>
      <c r="S18" s="18">
        <f>$C18*(1+$D18)^(S$4-2025)</f>
        <v>7905096.0966540743</v>
      </c>
      <c r="T18" s="18">
        <f>$C18*(1+$D18)^(T$4-2025)</f>
        <v>8128031.427350821</v>
      </c>
      <c r="U18" s="18">
        <f>$C18*(1+$D18)^(U$4-2025)</f>
        <v>8357253.8620960442</v>
      </c>
      <c r="V18" s="18">
        <f>$C18*(1+$D18)^(V$4-2025)</f>
        <v>8592940.7064661738</v>
      </c>
      <c r="W18" s="18">
        <f>$C18*(1+$D18)^(W$4-2025)</f>
        <v>8835274.2663155496</v>
      </c>
      <c r="X18" s="18">
        <f>$C18*(1+$D18)^(X$4-2025)</f>
        <v>9084441.9887915868</v>
      </c>
    </row>
    <row r="19" spans="1:24">
      <c r="A19" s="22" t="str">
        <f>'Historical FY16-FY25'!A19</f>
        <v>Buckingham County</v>
      </c>
      <c r="B19" s="22" t="str">
        <f>'Historical FY16-FY25'!B19</f>
        <v>County</v>
      </c>
      <c r="C19" s="23">
        <f>'Historical FY16-FY25'!H19</f>
        <v>3874968</v>
      </c>
      <c r="D19" s="10">
        <f>MIN(Assumptions!$B$27,MAX(Assumptions!$B$26,Assumptions!$B$24+Assumptions!$B$25*('Historical FY16-FY25'!J19-Assumptions!$B$20)))</f>
        <v>3.7099894579201931E-2</v>
      </c>
      <c r="E19" s="15">
        <f>$C19*(1+$D19)^(E$4-2025)</f>
        <v>4018728.9042977807</v>
      </c>
      <c r="F19" s="15">
        <f>$C19*(1+$D19)^(F$4-2025)</f>
        <v>4167823.3229896189</v>
      </c>
      <c r="G19" s="15">
        <f>$C19*(1+$D19)^(G$4-2025)</f>
        <v>4322449.128897273</v>
      </c>
      <c r="H19" s="15">
        <f>$C19*(1+$D19)^(H$4-2025)</f>
        <v>4482811.5359033234</v>
      </c>
      <c r="I19" s="15">
        <f>$C19*(1+$D19)^(I$4-2025)</f>
        <v>4649123.371303767</v>
      </c>
      <c r="J19" s="15">
        <f>$C19*(1+$D19)^(J$4-2025)</f>
        <v>4821605.3582648393</v>
      </c>
      <c r="K19" s="15">
        <f>$C19*(1+$D19)^(K$4-2025)</f>
        <v>5000486.4087589793</v>
      </c>
      <c r="L19" s="15">
        <f>$C19*(1+$D19)^(L$4-2025)</f>
        <v>5186003.9273686688</v>
      </c>
      <c r="M19" s="15">
        <f>$C19*(1+$D19)^(M$4-2025)</f>
        <v>5378404.1263613729</v>
      </c>
      <c r="N19" s="15">
        <f>$C19*(1+$D19)^(N$4-2025)</f>
        <v>5577942.3524537235</v>
      </c>
      <c r="O19" s="15">
        <f>$C19*(1+$D19)^(O$4-2025)</f>
        <v>5784883.4256986221</v>
      </c>
      <c r="P19" s="15">
        <f>$C19*(1+$D19)^(P$4-2025)</f>
        <v>5999501.9909450123</v>
      </c>
      <c r="Q19" s="15">
        <f>$C19*(1+$D19)^(Q$4-2025)</f>
        <v>6222082.8823367823</v>
      </c>
      <c r="R19" s="15">
        <f>$C19*(1+$D19)^(R$4-2025)</f>
        <v>6452921.501334534</v>
      </c>
      <c r="S19" s="15">
        <f>$C19*(1+$D19)^(S$4-2025)</f>
        <v>6692324.208761909</v>
      </c>
      <c r="T19" s="15">
        <f>$C19*(1+$D19)^(T$4-2025)</f>
        <v>6940608.7313968167</v>
      </c>
      <c r="U19" s="15">
        <f>$C19*(1+$D19)^(U$4-2025)</f>
        <v>7198104.5836471254</v>
      </c>
      <c r="V19" s="15">
        <f>$C19*(1+$D19)^(V$4-2025)</f>
        <v>7465153.5048705023</v>
      </c>
      <c r="W19" s="15">
        <f>$C19*(1+$D19)^(W$4-2025)</f>
        <v>7742109.9129187586</v>
      </c>
      <c r="X19" s="15">
        <f>$C19*(1+$D19)^(X$4-2025)</f>
        <v>8029341.3745086361</v>
      </c>
    </row>
    <row r="20" spans="1:24">
      <c r="A20" s="24" t="str">
        <f>'Historical FY16-FY25'!A20</f>
        <v>Campbell County</v>
      </c>
      <c r="B20" s="24" t="str">
        <f>'Historical FY16-FY25'!B20</f>
        <v>County</v>
      </c>
      <c r="C20" s="25">
        <f>'Historical FY16-FY25'!H20</f>
        <v>18668330</v>
      </c>
      <c r="D20" s="19">
        <f>MIN(Assumptions!$B$27,MAX(Assumptions!$B$26,Assumptions!$B$24+Assumptions!$B$25*('Historical FY16-FY25'!J20-Assumptions!$B$20)))</f>
        <v>4.5156299000178479E-2</v>
      </c>
      <c r="E20" s="18">
        <f>$C20*(1+$D20)^(E$4-2025)</f>
        <v>19511322.691314001</v>
      </c>
      <c r="F20" s="18">
        <f>$C20*(1+$D20)^(F$4-2025)</f>
        <v>20392381.81265194</v>
      </c>
      <c r="G20" s="18">
        <f>$C20*(1+$D20)^(G$4-2025)</f>
        <v>21313226.303109851</v>
      </c>
      <c r="H20" s="18">
        <f>$C20*(1+$D20)^(H$4-2025)</f>
        <v>22275652.722711548</v>
      </c>
      <c r="I20" s="18">
        <f>$C20*(1+$D20)^(I$4-2025)</f>
        <v>23281538.757482443</v>
      </c>
      <c r="J20" s="18">
        <f>$C20*(1+$D20)^(J$4-2025)</f>
        <v>24332846.882799566</v>
      </c>
      <c r="K20" s="18">
        <f>$C20*(1+$D20)^(K$4-2025)</f>
        <v>25431628.19216482</v>
      </c>
      <c r="L20" s="18">
        <f>$C20*(1+$D20)^(L$4-2025)</f>
        <v>26580026.398871582</v>
      </c>
      <c r="M20" s="18">
        <f>$C20*(1+$D20)^(M$4-2025)</f>
        <v>27780282.01837166</v>
      </c>
      <c r="N20" s="18">
        <f>$C20*(1+$D20)^(N$4-2025)</f>
        <v>29034736.739502531</v>
      </c>
      <c r="O20" s="18">
        <f>$C20*(1+$D20)^(O$4-2025)</f>
        <v>30345837.993102971</v>
      </c>
      <c r="P20" s="18">
        <f>$C20*(1+$D20)^(P$4-2025)</f>
        <v>31716143.726930503</v>
      </c>
      <c r="Q20" s="18">
        <f>$C20*(1+$D20)^(Q$4-2025)</f>
        <v>33148327.396196406</v>
      </c>
      <c r="R20" s="18">
        <f>$C20*(1+$D20)^(R$4-2025)</f>
        <v>34645183.179454856</v>
      </c>
      <c r="S20" s="18">
        <f>$C20*(1+$D20)^(S$4-2025)</f>
        <v>36209631.430022269</v>
      </c>
      <c r="T20" s="18">
        <f>$C20*(1+$D20)^(T$4-2025)</f>
        <v>37844724.373562619</v>
      </c>
      <c r="U20" s="18">
        <f>$C20*(1+$D20)^(U$4-2025)</f>
        <v>39553652.062954552</v>
      </c>
      <c r="V20" s="18">
        <f>$C20*(1+$D20)^(V$4-2025)</f>
        <v>41339748.602058344</v>
      </c>
      <c r="W20" s="18">
        <f>$C20*(1+$D20)^(W$4-2025)</f>
        <v>43206498.650525101</v>
      </c>
      <c r="X20" s="18">
        <f>$C20*(1+$D20)^(X$4-2025)</f>
        <v>45157544.222339012</v>
      </c>
    </row>
    <row r="21" spans="1:24">
      <c r="A21" s="22" t="str">
        <f>'Historical FY16-FY25'!A21</f>
        <v>Caroline County</v>
      </c>
      <c r="B21" s="22" t="str">
        <f>'Historical FY16-FY25'!B21</f>
        <v>County</v>
      </c>
      <c r="C21" s="23">
        <f>'Historical FY16-FY25'!H21</f>
        <v>10284627</v>
      </c>
      <c r="D21" s="10">
        <f>MIN(Assumptions!$B$27,MAX(Assumptions!$B$26,Assumptions!$B$24+Assumptions!$B$25*('Historical FY16-FY25'!J21-Assumptions!$B$20)))</f>
        <v>5.4609755421761164E-2</v>
      </c>
      <c r="E21" s="15">
        <f>$C21*(1+$D21)^(E$4-2025)</f>
        <v>10846267.965074042</v>
      </c>
      <c r="F21" s="15">
        <f>$C21*(1+$D21)^(F$4-2025)</f>
        <v>11438580.00588562</v>
      </c>
      <c r="G21" s="15">
        <f>$C21*(1+$D21)^(G$4-2025)</f>
        <v>12063238.06237928</v>
      </c>
      <c r="H21" s="15">
        <f>$C21*(1+$D21)^(H$4-2025)</f>
        <v>12722008.542560294</v>
      </c>
      <c r="I21" s="15">
        <f>$C21*(1+$D21)^(I$4-2025)</f>
        <v>13416754.317543071</v>
      </c>
      <c r="J21" s="15">
        <f>$C21*(1+$D21)^(J$4-2025)</f>
        <v>14149439.989377955</v>
      </c>
      <c r="K21" s="15">
        <f>$C21*(1+$D21)^(K$4-2025)</f>
        <v>14922137.446552774</v>
      </c>
      <c r="L21" s="15">
        <f>$C21*(1+$D21)^(L$4-2025)</f>
        <v>15737031.722878926</v>
      </c>
      <c r="M21" s="15">
        <f>$C21*(1+$D21)^(M$4-2025)</f>
        <v>16596427.176329842</v>
      </c>
      <c r="N21" s="15">
        <f>$C21*(1+$D21)^(N$4-2025)</f>
        <v>17502754.005304284</v>
      </c>
      <c r="O21" s="15">
        <f>$C21*(1+$D21)^(O$4-2025)</f>
        <v>18458575.120741203</v>
      </c>
      <c r="P21" s="15">
        <f>$C21*(1+$D21)^(P$4-2025)</f>
        <v>19466593.393519089</v>
      </c>
      <c r="Q21" s="15">
        <f>$C21*(1+$D21)^(Q$4-2025)</f>
        <v>20529659.297634039</v>
      </c>
      <c r="R21" s="15">
        <f>$C21*(1+$D21)^(R$4-2025)</f>
        <v>21650778.970769923</v>
      </c>
      <c r="S21" s="15">
        <f>$C21*(1+$D21)^(S$4-2025)</f>
        <v>22833122.715054277</v>
      </c>
      <c r="T21" s="15">
        <f>$C21*(1+$D21)^(T$4-2025)</f>
        <v>24080033.962038454</v>
      </c>
      <c r="U21" s="15">
        <f>$C21*(1+$D21)^(U$4-2025)</f>
        <v>25395038.727253076</v>
      </c>
      <c r="V21" s="15">
        <f>$C21*(1+$D21)^(V$4-2025)</f>
        <v>26781855.581074517</v>
      </c>
      <c r="W21" s="15">
        <f>$C21*(1+$D21)^(W$4-2025)</f>
        <v>28244406.164097931</v>
      </c>
      <c r="X21" s="15">
        <f>$C21*(1+$D21)^(X$4-2025)</f>
        <v>29786826.276752207</v>
      </c>
    </row>
    <row r="22" spans="1:24">
      <c r="A22" s="24" t="str">
        <f>'Historical FY16-FY25'!A22</f>
        <v>Carroll County</v>
      </c>
      <c r="B22" s="24" t="str">
        <f>'Historical FY16-FY25'!B22</f>
        <v>County</v>
      </c>
      <c r="C22" s="25">
        <f>'Historical FY16-FY25'!H22</f>
        <v>7718585</v>
      </c>
      <c r="D22" s="19">
        <f>MIN(Assumptions!$B$27,MAX(Assumptions!$B$26,Assumptions!$B$24+Assumptions!$B$25*('Historical FY16-FY25'!J22-Assumptions!$B$20)))</f>
        <v>4.0622585702957736E-2</v>
      </c>
      <c r="E22" s="18">
        <f>$C22*(1+$D22)^(E$4-2025)</f>
        <v>8032133.8806680636</v>
      </c>
      <c r="F22" s="18">
        <f>$C22*(1+$D22)^(F$4-2025)</f>
        <v>8358419.9276131317</v>
      </c>
      <c r="G22" s="18">
        <f>$C22*(1+$D22)^(G$4-2025)</f>
        <v>8697960.5574639067</v>
      </c>
      <c r="H22" s="18">
        <f>$C22*(1+$D22)^(H$4-2025)</f>
        <v>9051294.2056504302</v>
      </c>
      <c r="I22" s="18">
        <f>$C22*(1+$D22)^(I$4-2025)</f>
        <v>9418981.1802421473</v>
      </c>
      <c r="J22" s="18">
        <f>$C22*(1+$D22)^(J$4-2025)</f>
        <v>9801604.5504710805</v>
      </c>
      <c r="K22" s="18">
        <f>$C22*(1+$D22)^(K$4-2025)</f>
        <v>10199771.071349092</v>
      </c>
      <c r="L22" s="18">
        <f>$C22*(1+$D22)^(L$4-2025)</f>
        <v>10614112.145845519</v>
      </c>
      <c r="M22" s="18">
        <f>$C22*(1+$D22)^(M$4-2025)</f>
        <v>11045284.826150931</v>
      </c>
      <c r="N22" s="18">
        <f>$C22*(1+$D22)^(N$4-2025)</f>
        <v>11493972.855614826</v>
      </c>
      <c r="O22" s="18">
        <f>$C22*(1+$D22)^(O$4-2025)</f>
        <v>11960887.753009509</v>
      </c>
      <c r="P22" s="18">
        <f>$C22*(1+$D22)^(P$4-2025)</f>
        <v>12446769.940839596</v>
      </c>
      <c r="Q22" s="18">
        <f>$C22*(1+$D22)^(Q$4-2025)</f>
        <v>12952389.919486349</v>
      </c>
      <c r="R22" s="18">
        <f>$C22*(1+$D22)^(R$4-2025)</f>
        <v>13478549.489048809</v>
      </c>
      <c r="S22" s="18">
        <f>$C22*(1+$D22)^(S$4-2025)</f>
        <v>14026083.020819249</v>
      </c>
      <c r="T22" s="18">
        <f>$C22*(1+$D22)^(T$4-2025)</f>
        <v>14595858.78040928</v>
      </c>
      <c r="U22" s="18">
        <f>$C22*(1+$D22)^(U$4-2025)</f>
        <v>15188780.304624721</v>
      </c>
      <c r="V22" s="18">
        <f>$C22*(1+$D22)^(V$4-2025)</f>
        <v>15805787.834272735</v>
      </c>
      <c r="W22" s="18">
        <f>$C22*(1+$D22)^(W$4-2025)</f>
        <v>16447859.805173248</v>
      </c>
      <c r="X22" s="18">
        <f>$C22*(1+$D22)^(X$4-2025)</f>
        <v>17116014.399739131</v>
      </c>
    </row>
    <row r="23" spans="1:24">
      <c r="A23" s="22" t="str">
        <f>'Historical FY16-FY25'!A23</f>
        <v>Charles City County</v>
      </c>
      <c r="B23" s="22" t="str">
        <f>'Historical FY16-FY25'!B23</f>
        <v>County</v>
      </c>
      <c r="C23" s="23">
        <f>'Historical FY16-FY25'!H23</f>
        <v>2301150</v>
      </c>
      <c r="D23" s="10">
        <f>MIN(Assumptions!$B$27,MAX(Assumptions!$B$26,Assumptions!$B$24+Assumptions!$B$25*('Historical FY16-FY25'!J23-Assumptions!$B$20)))</f>
        <v>4.6285551934509783E-2</v>
      </c>
      <c r="E23" s="15">
        <f>$C23*(1+$D23)^(E$4-2025)</f>
        <v>2407659.9978340971</v>
      </c>
      <c r="F23" s="15">
        <f>$C23*(1+$D23)^(F$4-2025)</f>
        <v>2519099.8697044891</v>
      </c>
      <c r="G23" s="15">
        <f>$C23*(1+$D23)^(G$4-2025)</f>
        <v>2635697.7975519127</v>
      </c>
      <c r="H23" s="15">
        <f>$C23*(1+$D23)^(H$4-2025)</f>
        <v>2757692.5248441752</v>
      </c>
      <c r="I23" s="15">
        <f>$C23*(1+$D23)^(I$4-2025)</f>
        <v>2885333.8454222595</v>
      </c>
      <c r="J23" s="15">
        <f>$C23*(1+$D23)^(J$4-2025)</f>
        <v>3018883.1149729509</v>
      </c>
      <c r="K23" s="15">
        <f>$C23*(1+$D23)^(K$4-2025)</f>
        <v>3158613.7861752454</v>
      </c>
      <c r="L23" s="15">
        <f>$C23*(1+$D23)^(L$4-2025)</f>
        <v>3304811.9686163194</v>
      </c>
      <c r="M23" s="15">
        <f>$C23*(1+$D23)^(M$4-2025)</f>
        <v>3457777.014623499</v>
      </c>
      <c r="N23" s="15">
        <f>$C23*(1+$D23)^(N$4-2025)</f>
        <v>3617822.1322118095</v>
      </c>
      <c r="O23" s="15">
        <f>$C23*(1+$D23)^(O$4-2025)</f>
        <v>3785275.0264021177</v>
      </c>
      <c r="P23" s="15">
        <f>$C23*(1+$D23)^(P$4-2025)</f>
        <v>3960478.5702230567</v>
      </c>
      <c r="Q23" s="15">
        <f>$C23*(1+$D23)^(Q$4-2025)</f>
        <v>4143791.5067706285</v>
      </c>
      <c r="R23" s="15">
        <f>$C23*(1+$D23)^(R$4-2025)</f>
        <v>4335589.1837630421</v>
      </c>
      <c r="S23" s="15">
        <f>$C23*(1+$D23)^(S$4-2025)</f>
        <v>4536264.3220948037</v>
      </c>
      <c r="T23" s="15">
        <f>$C23*(1+$D23)^(T$4-2025)</f>
        <v>4746227.8199637886</v>
      </c>
      <c r="U23" s="15">
        <f>$C23*(1+$D23)^(U$4-2025)</f>
        <v>4965909.5942177381</v>
      </c>
      <c r="V23" s="15">
        <f>$C23*(1+$D23)^(V$4-2025)</f>
        <v>5195759.4606429832</v>
      </c>
      <c r="W23" s="15">
        <f>$C23*(1+$D23)^(W$4-2025)</f>
        <v>5436248.0549977943</v>
      </c>
      <c r="X23" s="15">
        <f>$C23*(1+$D23)^(X$4-2025)</f>
        <v>5687867.7966762735</v>
      </c>
    </row>
    <row r="24" spans="1:24">
      <c r="A24" s="24" t="str">
        <f>'Historical FY16-FY25'!A24</f>
        <v>Charlotte County</v>
      </c>
      <c r="B24" s="24" t="str">
        <f>'Historical FY16-FY25'!B24</f>
        <v>County</v>
      </c>
      <c r="C24" s="25">
        <f>'Historical FY16-FY25'!H24</f>
        <v>3047118</v>
      </c>
      <c r="D24" s="19">
        <f>MIN(Assumptions!$B$27,MAX(Assumptions!$B$26,Assumptions!$B$24+Assumptions!$B$25*('Historical FY16-FY25'!J24-Assumptions!$B$20)))</f>
        <v>3.2627848561528561E-2</v>
      </c>
      <c r="E24" s="18">
        <f>$C24*(1+$D24)^(E$4-2025)</f>
        <v>3146538.9046531077</v>
      </c>
      <c r="F24" s="18">
        <f>$C24*(1+$D24)^(F$4-2025)</f>
        <v>3249203.6995270876</v>
      </c>
      <c r="G24" s="18">
        <f>$C24*(1+$D24)^(G$4-2025)</f>
        <v>3355218.2257808154</v>
      </c>
      <c r="H24" s="18">
        <f>$C24*(1+$D24)^(H$4-2025)</f>
        <v>3464691.7779424726</v>
      </c>
      <c r="I24" s="18">
        <f>$C24*(1+$D24)^(I$4-2025)</f>
        <v>3577737.2165855528</v>
      </c>
      <c r="J24" s="18">
        <f>$C24*(1+$D24)^(J$4-2025)</f>
        <v>3694471.0846812511</v>
      </c>
      <c r="K24" s="18">
        <f>$C24*(1+$D24)^(K$4-2025)</f>
        <v>3815013.7277471772</v>
      </c>
      <c r="L24" s="18">
        <f>$C24*(1+$D24)^(L$4-2025)</f>
        <v>3939489.4179162649</v>
      </c>
      <c r="M24" s="18">
        <f>$C24*(1+$D24)^(M$4-2025)</f>
        <v>4068026.4820537809</v>
      </c>
      <c r="N24" s="18">
        <f>$C24*(1+$D24)^(N$4-2025)</f>
        <v>4200757.43405452</v>
      </c>
      <c r="O24" s="18">
        <f>$C24*(1+$D24)^(O$4-2025)</f>
        <v>4337819.1114565656</v>
      </c>
      <c r="P24" s="18">
        <f>$C24*(1+$D24)^(P$4-2025)</f>
        <v>4479352.8165124757</v>
      </c>
      <c r="Q24" s="18">
        <f>$C24*(1+$D24)^(Q$4-2025)</f>
        <v>4625504.4618633008</v>
      </c>
      <c r="R24" s="18">
        <f>$C24*(1+$D24)^(R$4-2025)</f>
        <v>4776424.7209656509</v>
      </c>
      <c r="S24" s="18">
        <f>$C24*(1+$D24)^(S$4-2025)</f>
        <v>4932269.1834268598</v>
      </c>
      <c r="T24" s="18">
        <f>$C24*(1+$D24)^(T$4-2025)</f>
        <v>5093198.515408406</v>
      </c>
      <c r="U24" s="18">
        <f>$C24*(1+$D24)^(U$4-2025)</f>
        <v>5259378.6252629533</v>
      </c>
      <c r="V24" s="18">
        <f>$C24*(1+$D24)^(V$4-2025)</f>
        <v>5430980.8345757732</v>
      </c>
      <c r="W24" s="18">
        <f>$C24*(1+$D24)^(W$4-2025)</f>
        <v>5608182.0547868758</v>
      </c>
      <c r="X24" s="18">
        <f>$C24*(1+$D24)^(X$4-2025)</f>
        <v>5791164.9695759444</v>
      </c>
    </row>
    <row r="25" spans="1:24">
      <c r="A25" s="22" t="str">
        <f>'Historical FY16-FY25'!A25</f>
        <v>Chesterfield County</v>
      </c>
      <c r="B25" s="22" t="str">
        <f>'Historical FY16-FY25'!B25</f>
        <v>County</v>
      </c>
      <c r="C25" s="23">
        <f>'Historical FY16-FY25'!H25</f>
        <v>157301000</v>
      </c>
      <c r="D25" s="10">
        <f>MIN(Assumptions!$B$27,MAX(Assumptions!$B$26,Assumptions!$B$24+Assumptions!$B$25*('Historical FY16-FY25'!J25-Assumptions!$B$20)))</f>
        <v>5.0393237599893781E-2</v>
      </c>
      <c r="E25" s="15">
        <f>$C25*(1+$D25)^(E$4-2025)</f>
        <v>165227906.66770089</v>
      </c>
      <c r="F25" s="15">
        <f>$C25*(1+$D25)^(F$4-2025)</f>
        <v>173554275.82653937</v>
      </c>
      <c r="G25" s="15">
        <f>$C25*(1+$D25)^(G$4-2025)</f>
        <v>182300237.68474367</v>
      </c>
      <c r="H25" s="15">
        <f>$C25*(1+$D25)^(H$4-2025)</f>
        <v>191486936.876908</v>
      </c>
      <c r="I25" s="15">
        <f>$C25*(1+$D25)^(I$4-2025)</f>
        <v>201136583.58422187</v>
      </c>
      <c r="J25" s="15">
        <f>$C25*(1+$D25)^(J$4-2025)</f>
        <v>211272507.2308124</v>
      </c>
      <c r="K25" s="15">
        <f>$C25*(1+$D25)^(K$4-2025)</f>
        <v>221919212.88602</v>
      </c>
      <c r="L25" s="15">
        <f>$C25*(1+$D25)^(L$4-2025)</f>
        <v>233102440.50896659</v>
      </c>
      <c r="M25" s="15">
        <f>$C25*(1+$D25)^(M$4-2025)</f>
        <v>244849227.17865002</v>
      </c>
      <c r="N25" s="15">
        <f>$C25*(1+$D25)^(N$4-2025)</f>
        <v>257187972.46001405</v>
      </c>
      <c r="O25" s="15">
        <f>$C25*(1+$D25)^(O$4-2025)</f>
        <v>270148507.06402647</v>
      </c>
      <c r="P25" s="15">
        <f>$C25*(1+$D25)^(P$4-2025)</f>
        <v>283762164.96776044</v>
      </c>
      <c r="Q25" s="15">
        <f>$C25*(1+$D25)^(Q$4-2025)</f>
        <v>298061859.168841</v>
      </c>
      <c r="R25" s="15">
        <f>$C25*(1+$D25)^(R$4-2025)</f>
        <v>313082161.25740242</v>
      </c>
      <c r="S25" s="15">
        <f>$C25*(1+$D25)^(S$4-2025)</f>
        <v>328859384.997935</v>
      </c>
      <c r="T25" s="15">
        <f>$C25*(1+$D25)^(T$4-2025)</f>
        <v>345431674.1230908</v>
      </c>
      <c r="U25" s="15">
        <f>$C25*(1+$D25)^(U$4-2025)</f>
        <v>362839094.55170476</v>
      </c>
      <c r="V25" s="15">
        <f>$C25*(1+$D25)^(V$4-2025)</f>
        <v>381123731.25397909</v>
      </c>
      <c r="W25" s="15">
        <f>$C25*(1+$D25)^(W$4-2025)</f>
        <v>400329789.99801892</v>
      </c>
      <c r="X25" s="15">
        <f>$C25*(1+$D25)^(X$4-2025)</f>
        <v>420503704.22370452</v>
      </c>
    </row>
    <row r="26" spans="1:24">
      <c r="A26" s="24" t="str">
        <f>'Historical FY16-FY25'!A26</f>
        <v>Clarke County</v>
      </c>
      <c r="B26" s="24" t="str">
        <f>'Historical FY16-FY25'!B26</f>
        <v>County</v>
      </c>
      <c r="C26" s="25">
        <f>'Historical FY16-FY25'!H26</f>
        <v>4701628</v>
      </c>
      <c r="D26" s="19">
        <f>MIN(Assumptions!$B$27,MAX(Assumptions!$B$26,Assumptions!$B$24+Assumptions!$B$25*('Historical FY16-FY25'!J26-Assumptions!$B$20)))</f>
        <v>4.8400321056991991E-2</v>
      </c>
      <c r="E26" s="18">
        <f>$C26*(1+$D26)^(E$4-2025)</f>
        <v>4929188.3046905436</v>
      </c>
      <c r="F26" s="18">
        <f>$C26*(1+$D26)^(F$4-2025)</f>
        <v>5167762.601187936</v>
      </c>
      <c r="G26" s="18">
        <f>$C26*(1+$D26)^(G$4-2025)</f>
        <v>5417883.9702317491</v>
      </c>
      <c r="H26" s="18">
        <f>$C26*(1+$D26)^(H$4-2025)</f>
        <v>5680111.2938404959</v>
      </c>
      <c r="I26" s="18">
        <f>$C26*(1+$D26)^(I$4-2025)</f>
        <v>5955030.5041018222</v>
      </c>
      <c r="J26" s="18">
        <f>$C26*(1+$D26)^(J$4-2025)</f>
        <v>6243255.8924045321</v>
      </c>
      <c r="K26" s="18">
        <f>$C26*(1+$D26)^(K$4-2025)</f>
        <v>6545431.4820378693</v>
      </c>
      <c r="L26" s="18">
        <f>$C26*(1+$D26)^(L$4-2025)</f>
        <v>6862232.467225045</v>
      </c>
      <c r="M26" s="18">
        <f>$C26*(1+$D26)^(M$4-2025)</f>
        <v>7194366.7218064526</v>
      </c>
      <c r="N26" s="18">
        <f>$C26*(1+$D26)^(N$4-2025)</f>
        <v>7542576.3809436234</v>
      </c>
      <c r="O26" s="18">
        <f>$C26*(1+$D26)^(O$4-2025)</f>
        <v>7907639.4993781811</v>
      </c>
      <c r="P26" s="18">
        <f>$C26*(1+$D26)^(P$4-2025)</f>
        <v>8290371.7899510358</v>
      </c>
      <c r="Q26" s="18">
        <f>$C26*(1+$D26)^(Q$4-2025)</f>
        <v>8691628.4462664966</v>
      </c>
      <c r="R26" s="18">
        <f>$C26*(1+$D26)^(R$4-2025)</f>
        <v>9112306.0535738785</v>
      </c>
      <c r="S26" s="18">
        <f>$C26*(1+$D26)^(S$4-2025)</f>
        <v>9553344.5921364296</v>
      </c>
      <c r="T26" s="18">
        <f>$C26*(1+$D26)^(T$4-2025)</f>
        <v>10015729.537563909</v>
      </c>
      <c r="U26" s="18">
        <f>$C26*(1+$D26)^(U$4-2025)</f>
        <v>10500494.062802</v>
      </c>
      <c r="V26" s="18">
        <f>$C26*(1+$D26)^(V$4-2025)</f>
        <v>11008721.346698659</v>
      </c>
      <c r="W26" s="18">
        <f>$C26*(1+$D26)^(W$4-2025)</f>
        <v>11541546.994305834</v>
      </c>
      <c r="X26" s="18">
        <f>$C26*(1+$D26)^(X$4-2025)</f>
        <v>12100161.574324599</v>
      </c>
    </row>
    <row r="27" spans="1:24">
      <c r="A27" s="22" t="str">
        <f>'Historical FY16-FY25'!A27</f>
        <v>Craig County</v>
      </c>
      <c r="B27" s="22" t="str">
        <f>'Historical FY16-FY25'!B27</f>
        <v>County</v>
      </c>
      <c r="C27" s="23">
        <f>'Historical FY16-FY25'!H27</f>
        <v>1084372</v>
      </c>
      <c r="D27" s="10">
        <f>MIN(Assumptions!$B$27,MAX(Assumptions!$B$26,Assumptions!$B$24+Assumptions!$B$25*('Historical FY16-FY25'!J27-Assumptions!$B$20)))</f>
        <v>3.4397984507900881E-2</v>
      </c>
      <c r="E27" s="15">
        <f>$C27*(1+$D27)^(E$4-2025)</f>
        <v>1121672.2112568014</v>
      </c>
      <c r="F27" s="15">
        <f>$C27*(1+$D27)^(F$4-2025)</f>
        <v>1160255.4746025556</v>
      </c>
      <c r="G27" s="15">
        <f>$C27*(1+$D27)^(G$4-2025)</f>
        <v>1200165.9244431411</v>
      </c>
      <c r="H27" s="15">
        <f>$C27*(1+$D27)^(H$4-2025)</f>
        <v>1241449.2133190469</v>
      </c>
      <c r="I27" s="15">
        <f>$C27*(1+$D27)^(I$4-2025)</f>
        <v>1284152.5641261409</v>
      </c>
      <c r="J27" s="15">
        <f>$C27*(1+$D27)^(J$4-2025)</f>
        <v>1328324.8241327328</v>
      </c>
      <c r="K27" s="15">
        <f>$C27*(1+$D27)^(K$4-2025)</f>
        <v>1374016.5208547106</v>
      </c>
      <c r="L27" s="15">
        <f>$C27*(1+$D27)^(L$4-2025)</f>
        <v>1421279.9198526705</v>
      </c>
      <c r="M27" s="15">
        <f>$C27*(1+$D27)^(M$4-2025)</f>
        <v>1470169.0845171532</v>
      </c>
      <c r="N27" s="15">
        <f>$C27*(1+$D27)^(N$4-2025)</f>
        <v>1520739.9379103689</v>
      </c>
      <c r="O27" s="15">
        <f>$C27*(1+$D27)^(O$4-2025)</f>
        <v>1573050.3267351554</v>
      </c>
      <c r="P27" s="15">
        <f>$C27*(1+$D27)^(P$4-2025)</f>
        <v>1627160.0875043394</v>
      </c>
      <c r="Q27" s="15">
        <f>$C27*(1+$D27)^(Q$4-2025)</f>
        <v>1683131.1149861882</v>
      </c>
      <c r="R27" s="15">
        <f>$C27*(1+$D27)^(R$4-2025)</f>
        <v>1741027.4330042489</v>
      </c>
      <c r="S27" s="15">
        <f>$C27*(1+$D27)^(S$4-2025)</f>
        <v>1800915.267672559</v>
      </c>
      <c r="T27" s="15">
        <f>$C27*(1+$D27)^(T$4-2025)</f>
        <v>1862863.1231500017</v>
      </c>
      <c r="U27" s="15">
        <f>$C27*(1+$D27)^(U$4-2025)</f>
        <v>1926941.8600004553</v>
      </c>
      <c r="V27" s="15">
        <f>$C27*(1+$D27)^(V$4-2025)</f>
        <v>1993224.7762483764</v>
      </c>
      <c r="W27" s="15">
        <f>$C27*(1+$D27)^(W$4-2025)</f>
        <v>2061787.6912225317</v>
      </c>
      <c r="X27" s="15">
        <f>$C27*(1+$D27)^(X$4-2025)</f>
        <v>2132709.0322837848</v>
      </c>
    </row>
    <row r="28" spans="1:24">
      <c r="A28" s="24" t="str">
        <f>'Historical FY16-FY25'!A28</f>
        <v>Culpeper County</v>
      </c>
      <c r="B28" s="24" t="str">
        <f>'Historical FY16-FY25'!B28</f>
        <v>County</v>
      </c>
      <c r="C28" s="25">
        <f>'Historical FY16-FY25'!H28</f>
        <v>23223123</v>
      </c>
      <c r="D28" s="19">
        <f>MIN(Assumptions!$B$27,MAX(Assumptions!$B$26,Assumptions!$B$24+Assumptions!$B$25*('Historical FY16-FY25'!J28-Assumptions!$B$20)))</f>
        <v>4.7534430234624558E-2</v>
      </c>
      <c r="E28" s="18">
        <f>$C28*(1+$D28)^(E$4-2025)</f>
        <v>24327020.920073606</v>
      </c>
      <c r="F28" s="18">
        <f>$C28*(1+$D28)^(F$4-2025)</f>
        <v>25483391.998815097</v>
      </c>
      <c r="G28" s="18">
        <f>$C28*(1+$D28)^(G$4-2025)</f>
        <v>26694730.517924361</v>
      </c>
      <c r="H28" s="18">
        <f>$C28*(1+$D28)^(H$4-2025)</f>
        <v>27963649.323360737</v>
      </c>
      <c r="I28" s="18">
        <f>$C28*(1+$D28)^(I$4-2025)</f>
        <v>29292885.461227532</v>
      </c>
      <c r="J28" s="18">
        <f>$C28*(1+$D28)^(J$4-2025)</f>
        <v>30685306.081555106</v>
      </c>
      <c r="K28" s="18">
        <f>$C28*(1+$D28)^(K$4-2025)</f>
        <v>32143914.622716881</v>
      </c>
      <c r="L28" s="18">
        <f>$C28*(1+$D28)^(L$4-2025)</f>
        <v>33671857.289818153</v>
      </c>
      <c r="M28" s="18">
        <f>$C28*(1+$D28)^(M$4-2025)</f>
        <v>35272429.841031246</v>
      </c>
      <c r="N28" s="18">
        <f>$C28*(1+$D28)^(N$4-2025)</f>
        <v>36949084.696515433</v>
      </c>
      <c r="O28" s="18">
        <f>$C28*(1+$D28)^(O$4-2025)</f>
        <v>38705438.38525518</v>
      </c>
      <c r="P28" s="18">
        <f>$C28*(1+$D28)^(P$4-2025)</f>
        <v>40545279.345879644</v>
      </c>
      <c r="Q28" s="18">
        <f>$C28*(1+$D28)^(Q$4-2025)</f>
        <v>42472576.098289728</v>
      </c>
      <c r="R28" s="18">
        <f>$C28*(1+$D28)^(R$4-2025)</f>
        <v>44491485.803718671</v>
      </c>
      <c r="S28" s="18">
        <f>$C28*(1+$D28)^(S$4-2025)</f>
        <v>46606363.23169031</v>
      </c>
      <c r="T28" s="18">
        <f>$C28*(1+$D28)^(T$4-2025)</f>
        <v>48821770.153216667</v>
      </c>
      <c r="U28" s="18">
        <f>$C28*(1+$D28)^(U$4-2025)</f>
        <v>51142485.180495627</v>
      </c>
      <c r="V28" s="18">
        <f>$C28*(1+$D28)^(V$4-2025)</f>
        <v>53573514.074333221</v>
      </c>
      <c r="W28" s="18">
        <f>$C28*(1+$D28)^(W$4-2025)</f>
        <v>56120100.541523278</v>
      </c>
      <c r="X28" s="18">
        <f>$C28*(1+$D28)^(X$4-2025)</f>
        <v>58787737.545474432</v>
      </c>
    </row>
    <row r="29" spans="1:24">
      <c r="A29" s="22" t="str">
        <f>'Historical FY16-FY25'!A29</f>
        <v>Cumberland County</v>
      </c>
      <c r="B29" s="22" t="str">
        <f>'Historical FY16-FY25'!B29</f>
        <v>County</v>
      </c>
      <c r="C29" s="23">
        <f>'Historical FY16-FY25'!H29</f>
        <v>2475248</v>
      </c>
      <c r="D29" s="10">
        <f>MIN(Assumptions!$B$27,MAX(Assumptions!$B$26,Assumptions!$B$24+Assumptions!$B$25*('Historical FY16-FY25'!J29-Assumptions!$B$20)))</f>
        <v>3.8941164054624555E-2</v>
      </c>
      <c r="E29" s="15">
        <f>$C29*(1+$D29)^(E$4-2025)</f>
        <v>2571637.0384438811</v>
      </c>
      <c r="F29" s="15">
        <f>$C29*(1+$D29)^(F$4-2025)</f>
        <v>2671779.5782468729</v>
      </c>
      <c r="G29" s="15">
        <f>$C29*(1+$D29)^(G$4-2025)</f>
        <v>2775821.7851211797</v>
      </c>
      <c r="H29" s="15">
        <f>$C29*(1+$D29)^(H$4-2025)</f>
        <v>2883915.5166419838</v>
      </c>
      <c r="I29" s="15">
        <f>$C29*(1+$D29)^(I$4-2025)</f>
        <v>2996218.5438952162</v>
      </c>
      <c r="J29" s="15">
        <f>$C29*(1+$D29)^(J$4-2025)</f>
        <v>3112894.7817565482</v>
      </c>
      <c r="K29" s="15">
        <f>$C29*(1+$D29)^(K$4-2025)</f>
        <v>3234114.5281377141</v>
      </c>
      <c r="L29" s="15">
        <f>$C29*(1+$D29)^(L$4-2025)</f>
        <v>3360054.7125493689</v>
      </c>
      <c r="M29" s="15">
        <f>$C29*(1+$D29)^(M$4-2025)</f>
        <v>3490899.1543432679</v>
      </c>
      <c r="N29" s="15">
        <f>$C29*(1+$D29)^(N$4-2025)</f>
        <v>3626838.8310106988</v>
      </c>
      <c r="O29" s="15">
        <f>$C29*(1+$D29)^(O$4-2025)</f>
        <v>3768072.1569287688</v>
      </c>
      <c r="P29" s="15">
        <f>$C29*(1+$D29)^(P$4-2025)</f>
        <v>3914805.2729613944</v>
      </c>
      <c r="Q29" s="15">
        <f>$C29*(1+$D29)^(Q$4-2025)</f>
        <v>4067252.347337693</v>
      </c>
      <c r="R29" s="15">
        <f>$C29*(1+$D29)^(R$4-2025)</f>
        <v>4225635.8882469265</v>
      </c>
      <c r="S29" s="15">
        <f>$C29*(1+$D29)^(S$4-2025)</f>
        <v>4390187.0686062593</v>
      </c>
      <c r="T29" s="15">
        <f>$C29*(1+$D29)^(T$4-2025)</f>
        <v>4561146.0634753453</v>
      </c>
      <c r="U29" s="15">
        <f>$C29*(1+$D29)^(U$4-2025)</f>
        <v>4738762.400610243</v>
      </c>
      <c r="V29" s="15">
        <f>$C29*(1+$D29)^(V$4-2025)</f>
        <v>4923295.3246682929</v>
      </c>
      <c r="W29" s="15">
        <f>$C29*(1+$D29)^(W$4-2025)</f>
        <v>5115014.1755955657</v>
      </c>
      <c r="X29" s="15">
        <f>$C29*(1+$D29)^(X$4-2025)</f>
        <v>5314198.7817491628</v>
      </c>
    </row>
    <row r="30" spans="1:24">
      <c r="A30" s="24" t="str">
        <f>'Historical FY16-FY25'!A30</f>
        <v>Dickenson County</v>
      </c>
      <c r="B30" s="24" t="str">
        <f>'Historical FY16-FY25'!B30</f>
        <v>County</v>
      </c>
      <c r="C30" s="25">
        <f>'Historical FY16-FY25'!H30</f>
        <v>3445406</v>
      </c>
      <c r="D30" s="19">
        <f>MIN(Assumptions!$B$27,MAX(Assumptions!$B$26,Assumptions!$B$24+Assumptions!$B$25*('Historical FY16-FY25'!J30-Assumptions!$B$20)))</f>
        <v>3.5018116531645771E-2</v>
      </c>
      <c r="E30" s="18">
        <f>$C30*(1+$D30)^(E$4-2025)</f>
        <v>3566057.6288068313</v>
      </c>
      <c r="F30" s="18">
        <f>$C30*(1+$D30)^(F$4-2025)</f>
        <v>3690934.2504109526</v>
      </c>
      <c r="G30" s="18">
        <f>$C30*(1+$D30)^(G$4-2025)</f>
        <v>3820183.8161024856</v>
      </c>
      <c r="H30" s="18">
        <f>$C30*(1+$D30)^(H$4-2025)</f>
        <v>3953959.458147069</v>
      </c>
      <c r="I30" s="18">
        <f>$C30*(1+$D30)^(I$4-2025)</f>
        <v>4092419.6712138653</v>
      </c>
      <c r="J30" s="18">
        <f>$C30*(1+$D30)^(J$4-2025)</f>
        <v>4235728.500156831</v>
      </c>
      <c r="K30" s="18">
        <f>$C30*(1+$D30)^(K$4-2025)</f>
        <v>4384055.7343717366</v>
      </c>
      <c r="L30" s="18">
        <f>$C30*(1+$D30)^(L$4-2025)</f>
        <v>4537577.1089591943</v>
      </c>
      <c r="M30" s="18">
        <f>$C30*(1+$D30)^(M$4-2025)</f>
        <v>4696474.5129320556</v>
      </c>
      <c r="N30" s="18">
        <f>$C30*(1+$D30)^(N$4-2025)</f>
        <v>4860936.204713813</v>
      </c>
      <c r="O30" s="18">
        <f>$C30*(1+$D30)^(O$4-2025)</f>
        <v>5031157.0351833776</v>
      </c>
      <c r="P30" s="18">
        <f>$C30*(1+$D30)^(P$4-2025)</f>
        <v>5207338.6785304369</v>
      </c>
      <c r="Q30" s="18">
        <f>$C30*(1+$D30)^(Q$4-2025)</f>
        <v>5389689.8711949615</v>
      </c>
      <c r="R30" s="18">
        <f>$C30*(1+$D30)^(R$4-2025)</f>
        <v>5578426.6591738965</v>
      </c>
      <c r="S30" s="18">
        <f>$C30*(1+$D30)^(S$4-2025)</f>
        <v>5773772.6539880875</v>
      </c>
      <c r="T30" s="18">
        <f>$C30*(1+$D30)^(T$4-2025)</f>
        <v>5975959.2976126708</v>
      </c>
      <c r="U30" s="18">
        <f>$C30*(1+$D30)^(U$4-2025)</f>
        <v>6185226.1366848433</v>
      </c>
      <c r="V30" s="18">
        <f>$C30*(1+$D30)^(V$4-2025)</f>
        <v>6401821.1063138526</v>
      </c>
      <c r="W30" s="18">
        <f>$C30*(1+$D30)^(W$4-2025)</f>
        <v>6626000.8238295</v>
      </c>
      <c r="X30" s="18">
        <f>$C30*(1+$D30)^(X$4-2025)</f>
        <v>6858030.8928171406</v>
      </c>
    </row>
    <row r="31" spans="1:24">
      <c r="A31" s="22" t="str">
        <f>'Historical FY16-FY25'!A31</f>
        <v>Dinwiddie County</v>
      </c>
      <c r="B31" s="22" t="str">
        <f>'Historical FY16-FY25'!B31</f>
        <v>County</v>
      </c>
      <c r="C31" s="23">
        <f>'Historical FY16-FY25'!H31</f>
        <v>8652141</v>
      </c>
      <c r="D31" s="10">
        <f>MIN(Assumptions!$B$27,MAX(Assumptions!$B$26,Assumptions!$B$24+Assumptions!$B$25*('Historical FY16-FY25'!J31-Assumptions!$B$20)))</f>
        <v>5.0324180856063716E-2</v>
      </c>
      <c r="E31" s="15">
        <f>$C31*(1+$D31)^(E$4-2025)</f>
        <v>9087552.9084761646</v>
      </c>
      <c r="F31" s="15">
        <f>$C31*(1+$D31)^(F$4-2025)</f>
        <v>9544876.5645813663</v>
      </c>
      <c r="G31" s="15">
        <f>$C31*(1+$D31)^(G$4-2025)</f>
        <v>10025214.659066163</v>
      </c>
      <c r="H31" s="15">
        <f>$C31*(1+$D31)^(H$4-2025)</f>
        <v>10529725.37468987</v>
      </c>
      <c r="I31" s="15">
        <f>$C31*(1+$D31)^(I$4-2025)</f>
        <v>11059625.178810446</v>
      </c>
      <c r="J31" s="15">
        <f>$C31*(1+$D31)^(J$4-2025)</f>
        <v>11616191.756509177</v>
      </c>
      <c r="K31" s="15">
        <f>$C31*(1+$D31)^(K$4-2025)</f>
        <v>12200767.091322463</v>
      </c>
      <c r="L31" s="15">
        <f>$C31*(1+$D31)^(L$4-2025)</f>
        <v>12814760.701008882</v>
      </c>
      <c r="M31" s="15">
        <f>$C31*(1+$D31)^(M$4-2025)</f>
        <v>13459653.036153631</v>
      </c>
      <c r="N31" s="15">
        <f>$C31*(1+$D31)^(N$4-2025)</f>
        <v>14136999.049804892</v>
      </c>
      <c r="O31" s="15">
        <f>$C31*(1+$D31)^(O$4-2025)</f>
        <v>14848431.946749277</v>
      </c>
      <c r="P31" s="15">
        <f>$C31*(1+$D31)^(P$4-2025)</f>
        <v>15595667.121466441</v>
      </c>
      <c r="Q31" s="15">
        <f>$C31*(1+$D31)^(Q$4-2025)</f>
        <v>16380506.294258084</v>
      </c>
      <c r="R31" s="15">
        <f>$C31*(1+$D31)^(R$4-2025)</f>
        <v>17204841.85552422</v>
      </c>
      <c r="S31" s="15">
        <f>$C31*(1+$D31)^(S$4-2025)</f>
        <v>18070661.428661596</v>
      </c>
      <c r="T31" s="15">
        <f>$C31*(1+$D31)^(T$4-2025)</f>
        <v>18980052.662586249</v>
      </c>
      <c r="U31" s="15">
        <f>$C31*(1+$D31)^(U$4-2025)</f>
        <v>19935208.265435852</v>
      </c>
      <c r="V31" s="15">
        <f>$C31*(1+$D31)^(V$4-2025)</f>
        <v>20938431.291588943</v>
      </c>
      <c r="W31" s="15">
        <f>$C31*(1+$D31)^(W$4-2025)</f>
        <v>21992140.694749128</v>
      </c>
      <c r="X31" s="15">
        <f>$C31*(1+$D31)^(X$4-2025)</f>
        <v>23098877.160483684</v>
      </c>
    </row>
    <row r="32" spans="1:24">
      <c r="A32" s="24" t="str">
        <f>'Historical FY16-FY25'!A32</f>
        <v>Essex County</v>
      </c>
      <c r="B32" s="24" t="str">
        <f>'Historical FY16-FY25'!B32</f>
        <v>County</v>
      </c>
      <c r="C32" s="25">
        <f>'Historical FY16-FY25'!H32</f>
        <v>4509859</v>
      </c>
      <c r="D32" s="19">
        <f>MIN(Assumptions!$B$27,MAX(Assumptions!$B$26,Assumptions!$B$24+Assumptions!$B$25*('Historical FY16-FY25'!J32-Assumptions!$B$20)))</f>
        <v>4.054201481562214E-2</v>
      </c>
      <c r="E32" s="18">
        <f>$C32*(1+$D32)^(E$4-2025)</f>
        <v>4692697.7703943672</v>
      </c>
      <c r="F32" s="18">
        <f>$C32*(1+$D32)^(F$4-2025)</f>
        <v>4882949.1929269321</v>
      </c>
      <c r="G32" s="18">
        <f>$C32*(1+$D32)^(G$4-2025)</f>
        <v>5080913.7914505051</v>
      </c>
      <c r="H32" s="18">
        <f>$C32*(1+$D32)^(H$4-2025)</f>
        <v>5286904.2736603906</v>
      </c>
      <c r="I32" s="18">
        <f>$C32*(1+$D32)^(I$4-2025)</f>
        <v>5501246.0250519067</v>
      </c>
      <c r="J32" s="18">
        <f>$C32*(1+$D32)^(J$4-2025)</f>
        <v>5724277.6229039431</v>
      </c>
      <c r="K32" s="18">
        <f>$C32*(1+$D32)^(K$4-2025)</f>
        <v>5956351.371100449</v>
      </c>
      <c r="L32" s="18">
        <f>$C32*(1+$D32)^(L$4-2025)</f>
        <v>6197833.8566346541</v>
      </c>
      <c r="M32" s="18">
        <f>$C32*(1+$D32)^(M$4-2025)</f>
        <v>6449106.5286751008</v>
      </c>
      <c r="N32" s="18">
        <f>$C32*(1+$D32)^(N$4-2025)</f>
        <v>6710566.3011081712</v>
      </c>
      <c r="O32" s="18">
        <f>$C32*(1+$D32)^(O$4-2025)</f>
        <v>6982626.1795089142</v>
      </c>
      <c r="P32" s="18">
        <f>$C32*(1+$D32)^(P$4-2025)</f>
        <v>7265715.9135305146</v>
      </c>
      <c r="Q32" s="18">
        <f>$C32*(1+$D32)^(Q$4-2025)</f>
        <v>7560282.6757429708</v>
      </c>
      <c r="R32" s="18">
        <f>$C32*(1+$D32)^(R$4-2025)</f>
        <v>7866791.7679932322</v>
      </c>
      <c r="S32" s="18">
        <f>$C32*(1+$D32)^(S$4-2025)</f>
        <v>8185727.3564026291</v>
      </c>
      <c r="T32" s="18">
        <f>$C32*(1+$D32)^(T$4-2025)</f>
        <v>8517593.236162547</v>
      </c>
      <c r="U32" s="18">
        <f>$C32*(1+$D32)^(U$4-2025)</f>
        <v>8862913.6273364909</v>
      </c>
      <c r="V32" s="18">
        <f>$C32*(1+$D32)^(V$4-2025)</f>
        <v>9222234.0029255468</v>
      </c>
      <c r="W32" s="18">
        <f>$C32*(1+$D32)^(W$4-2025)</f>
        <v>9596121.9505052883</v>
      </c>
      <c r="X32" s="18">
        <f>$C32*(1+$D32)^(X$4-2025)</f>
        <v>9985168.0687951911</v>
      </c>
    </row>
    <row r="33" spans="1:24">
      <c r="A33" s="22" t="str">
        <f>'Historical FY16-FY25'!A33</f>
        <v>Fairfax County</v>
      </c>
      <c r="B33" s="22" t="str">
        <f>'Historical FY16-FY25'!B33</f>
        <v>County</v>
      </c>
      <c r="C33" s="23">
        <f>'Historical FY16-FY25'!H33</f>
        <v>475666135</v>
      </c>
      <c r="D33" s="10">
        <f>MIN(Assumptions!$B$27,MAX(Assumptions!$B$26,Assumptions!$B$24+Assumptions!$B$25*('Historical FY16-FY25'!J33-Assumptions!$B$20)))</f>
        <v>3.9666120254270743E-2</v>
      </c>
      <c r="E33" s="15">
        <f>$C33*(1+$D33)^(E$4-2025)</f>
        <v>494533965.11179417</v>
      </c>
      <c r="F33" s="15">
        <f>$C33*(1+$D33)^(F$4-2025)</f>
        <v>514150208.84173989</v>
      </c>
      <c r="G33" s="15">
        <f>$C33*(1+$D33)^(G$4-2025)</f>
        <v>534544552.85441476</v>
      </c>
      <c r="H33" s="15">
        <f>$C33*(1+$D33)^(H$4-2025)</f>
        <v>555747861.36920333</v>
      </c>
      <c r="I33" s="15">
        <f>$C33*(1+$D33)^(I$4-2025)</f>
        <v>577792222.8693279</v>
      </c>
      <c r="J33" s="15">
        <f>$C33*(1+$D33)^(J$4-2025)</f>
        <v>600710998.66364515</v>
      </c>
      <c r="K33" s="15">
        <f>$C33*(1+$D33)^(K$4-2025)</f>
        <v>624538873.37470031</v>
      </c>
      <c r="L33" s="15">
        <f>$C33*(1+$D33)^(L$4-2025)</f>
        <v>649311907.42944777</v>
      </c>
      <c r="M33" s="15">
        <f>$C33*(1+$D33)^(M$4-2025)</f>
        <v>675067591.63207424</v>
      </c>
      <c r="N33" s="15">
        <f>$C33*(1+$D33)^(N$4-2025)</f>
        <v>701844903.90151298</v>
      </c>
      <c r="O33" s="15">
        <f>$C33*(1+$D33)^(O$4-2025)</f>
        <v>729684368.25951743</v>
      </c>
      <c r="P33" s="15">
        <f>$C33*(1+$D33)^(P$4-2025)</f>
        <v>758628116.15856099</v>
      </c>
      <c r="Q33" s="15">
        <f>$C33*(1+$D33)^(Q$4-2025)</f>
        <v>788719950.24237728</v>
      </c>
      <c r="R33" s="15">
        <f>$C33*(1+$D33)^(R$4-2025)</f>
        <v>820005410.63563395</v>
      </c>
      <c r="S33" s="15">
        <f>$C33*(1+$D33)^(S$4-2025)</f>
        <v>852531843.86305952</v>
      </c>
      <c r="T33" s="15">
        <f>$C33*(1+$D33)^(T$4-2025)</f>
        <v>886348474.50232673</v>
      </c>
      <c r="U33" s="15">
        <f>$C33*(1+$D33)^(U$4-2025)</f>
        <v>921506479.67912543</v>
      </c>
      <c r="V33" s="15">
        <f>$C33*(1+$D33)^(V$4-2025)</f>
        <v>958059066.51716721</v>
      </c>
      <c r="W33" s="15">
        <f>$C33*(1+$D33)^(W$4-2025)</f>
        <v>996061552.66033149</v>
      </c>
      <c r="X33" s="15">
        <f>$C33*(1+$D33)^(X$4-2025)</f>
        <v>1035571449.9888117</v>
      </c>
    </row>
    <row r="34" spans="1:24">
      <c r="A34" s="24" t="str">
        <f>'Historical FY16-FY25'!A34</f>
        <v>Fauquier County</v>
      </c>
      <c r="B34" s="24" t="str">
        <f>'Historical FY16-FY25'!B34</f>
        <v>County</v>
      </c>
      <c r="C34" s="25">
        <f>'Historical FY16-FY25'!H34</f>
        <v>31827776</v>
      </c>
      <c r="D34" s="19">
        <f>MIN(Assumptions!$B$27,MAX(Assumptions!$B$26,Assumptions!$B$24+Assumptions!$B$25*('Historical FY16-FY25'!J34-Assumptions!$B$20)))</f>
        <v>5.2366396815475391E-2</v>
      </c>
      <c r="E34" s="18">
        <f>$C34*(1+$D34)^(E$4-2025)</f>
        <v>33494481.947770059</v>
      </c>
      <c r="F34" s="18">
        <f>$C34*(1+$D34)^(F$4-2025)</f>
        <v>35248467.28057576</v>
      </c>
      <c r="G34" s="18">
        <f>$C34*(1+$D34)^(G$4-2025)</f>
        <v>37094302.505327687</v>
      </c>
      <c r="H34" s="18">
        <f>$C34*(1+$D34)^(H$4-2025)</f>
        <v>39036797.46991495</v>
      </c>
      <c r="I34" s="18">
        <f>$C34*(1+$D34)^(I$4-2025)</f>
        <v>41081013.896629855</v>
      </c>
      <c r="J34" s="18">
        <f>$C34*(1+$D34)^(J$4-2025)</f>
        <v>43232278.571922824</v>
      </c>
      <c r="K34" s="18">
        <f>$C34*(1+$D34)^(K$4-2025)</f>
        <v>45496197.226857305</v>
      </c>
      <c r="L34" s="18">
        <f>$C34*(1+$D34)^(L$4-2025)</f>
        <v>47878669.144434035</v>
      </c>
      <c r="M34" s="18">
        <f>$C34*(1+$D34)^(M$4-2025)</f>
        <v>50385902.531848319</v>
      </c>
      <c r="N34" s="18">
        <f>$C34*(1+$D34)^(N$4-2025)</f>
        <v>53024430.697736941</v>
      </c>
      <c r="O34" s="18">
        <f>$C34*(1+$D34)^(O$4-2025)</f>
        <v>55801129.076569304</v>
      </c>
      <c r="P34" s="18">
        <f>$C34*(1+$D34)^(P$4-2025)</f>
        <v>58723233.144544475</v>
      </c>
      <c r="Q34" s="18">
        <f>$C34*(1+$D34)^(Q$4-2025)</f>
        <v>61798357.273679361</v>
      </c>
      <c r="R34" s="18">
        <f>$C34*(1+$D34)^(R$4-2025)</f>
        <v>65034514.573217362</v>
      </c>
      <c r="S34" s="18">
        <f>$C34*(1+$D34)^(S$4-2025)</f>
        <v>68440137.770060271</v>
      </c>
      <c r="T34" s="18">
        <f>$C34*(1+$D34)^(T$4-2025)</f>
        <v>72024101.182633042</v>
      </c>
      <c r="U34" s="18">
        <f>$C34*(1+$D34)^(U$4-2025)</f>
        <v>75795743.845440745</v>
      </c>
      <c r="V34" s="18">
        <f>$C34*(1+$D34)^(V$4-2025)</f>
        <v>79764893.844575197</v>
      </c>
      <c r="W34" s="18">
        <f>$C34*(1+$D34)^(W$4-2025)</f>
        <v>83941893.927584484</v>
      </c>
      <c r="X34" s="18">
        <f>$C34*(1+$D34)^(X$4-2025)</f>
        <v>88337628.454438895</v>
      </c>
    </row>
    <row r="35" spans="1:24">
      <c r="A35" s="22" t="str">
        <f>'Historical FY16-FY25'!A35</f>
        <v>Floyd County</v>
      </c>
      <c r="B35" s="22" t="str">
        <f>'Historical FY16-FY25'!B35</f>
        <v>County</v>
      </c>
      <c r="C35" s="23">
        <f>'Historical FY16-FY25'!H35</f>
        <v>4297802</v>
      </c>
      <c r="D35" s="10">
        <f>MIN(Assumptions!$B$27,MAX(Assumptions!$B$26,Assumptions!$B$24+Assumptions!$B$25*('Historical FY16-FY25'!J35-Assumptions!$B$20)))</f>
        <v>4.543527674007708E-2</v>
      </c>
      <c r="E35" s="15">
        <f>$C35*(1+$D35)^(E$4-2025)</f>
        <v>4493073.8232440567</v>
      </c>
      <c r="F35" s="15">
        <f>$C35*(1+$D35)^(F$4-2025)</f>
        <v>4697217.8758167457</v>
      </c>
      <c r="G35" s="15">
        <f>$C35*(1+$D35)^(G$4-2025)</f>
        <v>4910637.2699129162</v>
      </c>
      <c r="H35" s="15">
        <f>$C35*(1+$D35)^(H$4-2025)</f>
        <v>5133753.4332415452</v>
      </c>
      <c r="I35" s="15">
        <f>$C35*(1+$D35)^(I$4-2025)</f>
        <v>5367006.9411961948</v>
      </c>
      <c r="J35" s="15">
        <f>$C35*(1+$D35)^(J$4-2025)</f>
        <v>5610858.386835359</v>
      </c>
      <c r="K35" s="15">
        <f>$C35*(1+$D35)^(K$4-2025)</f>
        <v>5865789.2903906042</v>
      </c>
      <c r="L35" s="15">
        <f>$C35*(1+$D35)^(L$4-2025)</f>
        <v>6132303.0500984816</v>
      </c>
      <c r="M35" s="15">
        <f>$C35*(1+$D35)^(M$4-2025)</f>
        <v>6410925.9362337245</v>
      </c>
      <c r="N35" s="15">
        <f>$C35*(1+$D35)^(N$4-2025)</f>
        <v>6702208.1303066406</v>
      </c>
      <c r="O35" s="15">
        <f>$C35*(1+$D35)^(O$4-2025)</f>
        <v>7006724.8114767177</v>
      </c>
      <c r="P35" s="15">
        <f>$C35*(1+$D35)^(P$4-2025)</f>
        <v>7325077.2923277253</v>
      </c>
      <c r="Q35" s="15">
        <f>$C35*(1+$D35)^(Q$4-2025)</f>
        <v>7657894.2062470885</v>
      </c>
      <c r="R35" s="15">
        <f>$C35*(1+$D35)^(R$4-2025)</f>
        <v>8005832.7487541586</v>
      </c>
      <c r="S35" s="15">
        <f>$C35*(1+$D35)^(S$4-2025)</f>
        <v>8369579.9752285732</v>
      </c>
      <c r="T35" s="15">
        <f>$C35*(1+$D35)^(T$4-2025)</f>
        <v>8749854.1576012913</v>
      </c>
      <c r="U35" s="15">
        <f>$C35*(1+$D35)^(U$4-2025)</f>
        <v>9147406.2026872188</v>
      </c>
      <c r="V35" s="15">
        <f>$C35*(1+$D35)^(V$4-2025)</f>
        <v>9563021.13496021</v>
      </c>
      <c r="W35" s="15">
        <f>$C35*(1+$D35)^(W$4-2025)</f>
        <v>9997519.6466983315</v>
      </c>
      <c r="X35" s="15">
        <f>$C35*(1+$D35)^(X$4-2025)</f>
        <v>10451759.718560427</v>
      </c>
    </row>
    <row r="36" spans="1:24">
      <c r="A36" s="24" t="str">
        <f>'Historical FY16-FY25'!A36</f>
        <v>Fluvanna County</v>
      </c>
      <c r="B36" s="24" t="str">
        <f>'Historical FY16-FY25'!B36</f>
        <v>County</v>
      </c>
      <c r="C36" s="25">
        <f>'Historical FY16-FY25'!H36</f>
        <v>7444536</v>
      </c>
      <c r="D36" s="19">
        <f>MIN(Assumptions!$B$27,MAX(Assumptions!$B$26,Assumptions!$B$24+Assumptions!$B$25*('Historical FY16-FY25'!J36-Assumptions!$B$20)))</f>
        <v>4.2667813135817911E-2</v>
      </c>
      <c r="E36" s="18">
        <f>$C36*(1+$D36)^(E$4-2025)</f>
        <v>7762178.0709308702</v>
      </c>
      <c r="F36" s="18">
        <f>$C36*(1+$D36)^(F$4-2025)</f>
        <v>8093373.2343882928</v>
      </c>
      <c r="G36" s="18">
        <f>$C36*(1+$D36)^(G$4-2025)</f>
        <v>8438699.7711916026</v>
      </c>
      <c r="H36" s="18">
        <f>$C36*(1+$D36)^(H$4-2025)</f>
        <v>8798760.636138076</v>
      </c>
      <c r="I36" s="18">
        <f>$C36*(1+$D36)^(I$4-2025)</f>
        <v>9174184.5107876062</v>
      </c>
      <c r="J36" s="18">
        <f>$C36*(1+$D36)^(J$4-2025)</f>
        <v>9565626.9011674095</v>
      </c>
      <c r="K36" s="18">
        <f>$C36*(1+$D36)^(K$4-2025)</f>
        <v>9973771.2823133729</v>
      </c>
      <c r="L36" s="18">
        <f>$C36*(1+$D36)^(L$4-2025)</f>
        <v>10399330.291646508</v>
      </c>
      <c r="M36" s="18">
        <f>$C36*(1+$D36)^(M$4-2025)</f>
        <v>10843046.973268133</v>
      </c>
      <c r="N36" s="18">
        <f>$C36*(1+$D36)^(N$4-2025)</f>
        <v>11305696.075346434</v>
      </c>
      <c r="O36" s="18">
        <f>$C36*(1+$D36)^(O$4-2025)</f>
        <v>11788085.402859667</v>
      </c>
      <c r="P36" s="18">
        <f>$C36*(1+$D36)^(P$4-2025)</f>
        <v>12291057.228057947</v>
      </c>
      <c r="Q36" s="18">
        <f>$C36*(1+$D36)^(Q$4-2025)</f>
        <v>12815489.76110637</v>
      </c>
      <c r="R36" s="18">
        <f>$C36*(1+$D36)^(R$4-2025)</f>
        <v>13362298.683477245</v>
      </c>
      <c r="S36" s="18">
        <f>$C36*(1+$D36)^(S$4-2025)</f>
        <v>13932438.74676884</v>
      </c>
      <c r="T36" s="18">
        <f>$C36*(1+$D36)^(T$4-2025)</f>
        <v>14526905.439742202</v>
      </c>
      <c r="U36" s="18">
        <f>$C36*(1+$D36)^(U$4-2025)</f>
        <v>15146736.726486823</v>
      </c>
      <c r="V36" s="18">
        <f>$C36*(1+$D36)^(V$4-2025)</f>
        <v>15793014.858749991</v>
      </c>
      <c r="W36" s="18">
        <f>$C36*(1+$D36)^(W$4-2025)</f>
        <v>16466868.265594335</v>
      </c>
      <c r="X36" s="18">
        <f>$C36*(1+$D36)^(X$4-2025)</f>
        <v>17169473.523682844</v>
      </c>
    </row>
    <row r="37" spans="1:24">
      <c r="A37" s="22" t="str">
        <f>'Historical FY16-FY25'!A37</f>
        <v>Franklin County</v>
      </c>
      <c r="B37" s="22" t="str">
        <f>'Historical FY16-FY25'!B37</f>
        <v>County</v>
      </c>
      <c r="C37" s="23">
        <f>'Historical FY16-FY25'!H37</f>
        <v>16957228</v>
      </c>
      <c r="D37" s="10">
        <f>MIN(Assumptions!$B$27,MAX(Assumptions!$B$26,Assumptions!$B$24+Assumptions!$B$25*('Historical FY16-FY25'!J37-Assumptions!$B$20)))</f>
        <v>3.7885974627759E-2</v>
      </c>
      <c r="E37" s="15">
        <f>$C37*(1+$D37)^(E$4-2025)</f>
        <v>17599669.109765127</v>
      </c>
      <c r="F37" s="15">
        <f>$C37*(1+$D37)^(F$4-2025)</f>
        <v>18266449.727114644</v>
      </c>
      <c r="G37" s="15">
        <f>$C37*(1+$D37)^(G$4-2025)</f>
        <v>18958491.978015345</v>
      </c>
      <c r="H37" s="15">
        <f>$C37*(1+$D37)^(H$4-2025)</f>
        <v>19676752.924075007</v>
      </c>
      <c r="I37" s="15">
        <f>$C37*(1+$D37)^(I$4-2025)</f>
        <v>20422225.886113197</v>
      </c>
      <c r="J37" s="15">
        <f>$C37*(1+$D37)^(J$4-2025)</f>
        <v>21195941.817876842</v>
      </c>
      <c r="K37" s="15">
        <f>$C37*(1+$D37)^(K$4-2025)</f>
        <v>21998970.731800385</v>
      </c>
      <c r="L37" s="15">
        <f>$C37*(1+$D37)^(L$4-2025)</f>
        <v>22832423.178782187</v>
      </c>
      <c r="M37" s="15">
        <f>$C37*(1+$D37)^(M$4-2025)</f>
        <v>23697451.784023788</v>
      </c>
      <c r="N37" s="15">
        <f>$C37*(1+$D37)^(N$4-2025)</f>
        <v>24595252.841055855</v>
      </c>
      <c r="O37" s="15">
        <f>$C37*(1+$D37)^(O$4-2025)</f>
        <v>25527067.966155414</v>
      </c>
      <c r="P37" s="15">
        <f>$C37*(1+$D37)^(P$4-2025)</f>
        <v>26494185.815442257</v>
      </c>
      <c r="Q37" s="15">
        <f>$C37*(1+$D37)^(Q$4-2025)</f>
        <v>27497943.867029242</v>
      </c>
      <c r="R37" s="15">
        <f>$C37*(1+$D37)^(R$4-2025)</f>
        <v>28539730.270691048</v>
      </c>
      <c r="S37" s="15">
        <f>$C37*(1+$D37)^(S$4-2025)</f>
        <v>29620985.76760954</v>
      </c>
      <c r="T37" s="15">
        <f>$C37*(1+$D37)^(T$4-2025)</f>
        <v>30743205.682850406</v>
      </c>
      <c r="U37" s="15">
        <f>$C37*(1+$D37)^(U$4-2025)</f>
        <v>31907941.993326854</v>
      </c>
      <c r="V37" s="15">
        <f>$C37*(1+$D37)^(V$4-2025)</f>
        <v>33116805.474110045</v>
      </c>
      <c r="W37" s="15">
        <f>$C37*(1+$D37)^(W$4-2025)</f>
        <v>34371467.926054604</v>
      </c>
      <c r="X37" s="15">
        <f>$C37*(1+$D37)^(X$4-2025)</f>
        <v>35673664.487819947</v>
      </c>
    </row>
    <row r="38" spans="1:24">
      <c r="A38" s="24" t="str">
        <f>'Historical FY16-FY25'!A38</f>
        <v>Frederick County</v>
      </c>
      <c r="B38" s="24" t="str">
        <f>'Historical FY16-FY25'!B38</f>
        <v>County</v>
      </c>
      <c r="C38" s="25">
        <f>'Historical FY16-FY25'!H38</f>
        <v>41403241</v>
      </c>
      <c r="D38" s="19">
        <f>MIN(Assumptions!$B$27,MAX(Assumptions!$B$26,Assumptions!$B$24+Assumptions!$B$25*('Historical FY16-FY25'!J38-Assumptions!$B$20)))</f>
        <v>5.2644774465204103E-2</v>
      </c>
      <c r="E38" s="18">
        <f>$C38*(1+$D38)^(E$4-2025)</f>
        <v>43582905.284573488</v>
      </c>
      <c r="F38" s="18">
        <f>$C38*(1+$D38)^(F$4-2025)</f>
        <v>45877317.503818214</v>
      </c>
      <c r="G38" s="18">
        <f>$C38*(1+$D38)^(G$4-2025)</f>
        <v>48292518.536875278</v>
      </c>
      <c r="H38" s="18">
        <f>$C38*(1+$D38)^(H$4-2025)</f>
        <v>50834867.283605769</v>
      </c>
      <c r="I38" s="18">
        <f>$C38*(1+$D38)^(I$4-2025)</f>
        <v>53511057.406719781</v>
      </c>
      <c r="J38" s="18">
        <f>$C38*(1+$D38)^(J$4-2025)</f>
        <v>56328134.95529113</v>
      </c>
      <c r="K38" s="18">
        <f>$C38*(1+$D38)^(K$4-2025)</f>
        <v>59293516.916058004</v>
      </c>
      <c r="L38" s="18">
        <f>$C38*(1+$D38)^(L$4-2025)</f>
        <v>62415010.741352633</v>
      </c>
      <c r="M38" s="18">
        <f>$C38*(1+$D38)^(M$4-2025)</f>
        <v>65700834.90507444</v>
      </c>
      <c r="N38" s="18">
        <f>$C38*(1+$D38)^(N$4-2025)</f>
        <v>69159640.540827677</v>
      </c>
      <c r="O38" s="18">
        <f>$C38*(1+$D38)^(O$4-2025)</f>
        <v>72800534.219194144</v>
      </c>
      <c r="P38" s="18">
        <f>$C38*(1+$D38)^(P$4-2025)</f>
        <v>76633101.92410998</v>
      </c>
      <c r="Q38" s="18">
        <f>$C38*(1+$D38)^(Q$4-2025)</f>
        <v>80667434.291473761</v>
      </c>
      <c r="R38" s="18">
        <f>$C38*(1+$D38)^(R$4-2025)</f>
        <v>84914153.176435068</v>
      </c>
      <c r="S38" s="18">
        <f>$C38*(1+$D38)^(S$4-2025)</f>
        <v>89384439.619312271</v>
      </c>
      <c r="T38" s="18">
        <f>$C38*(1+$D38)^(T$4-2025)</f>
        <v>94090063.283769622</v>
      </c>
      <c r="U38" s="18">
        <f>$C38*(1+$D38)^(U$4-2025)</f>
        <v>99043413.444760457</v>
      </c>
      <c r="V38" s="18">
        <f>$C38*(1+$D38)^(V$4-2025)</f>
        <v>104257531.60782382</v>
      </c>
      <c r="W38" s="18">
        <f>$C38*(1+$D38)^(W$4-2025)</f>
        <v>109746145.84561658</v>
      </c>
      <c r="X38" s="18">
        <f>$C38*(1+$D38)^(X$4-2025)</f>
        <v>115523706.94208448</v>
      </c>
    </row>
    <row r="39" spans="1:24">
      <c r="A39" s="22" t="str">
        <f>'Historical FY16-FY25'!A39</f>
        <v>Giles County</v>
      </c>
      <c r="B39" s="22" t="str">
        <f>'Historical FY16-FY25'!B39</f>
        <v>County</v>
      </c>
      <c r="C39" s="23">
        <f>'Historical FY16-FY25'!H39</f>
        <v>5584860</v>
      </c>
      <c r="D39" s="10">
        <f>MIN(Assumptions!$B$27,MAX(Assumptions!$B$26,Assumptions!$B$24+Assumptions!$B$25*('Historical FY16-FY25'!J39-Assumptions!$B$20)))</f>
        <v>3.6783896509080205E-2</v>
      </c>
      <c r="E39" s="15">
        <f>$C39*(1+$D39)^(E$4-2025)</f>
        <v>5790292.9122577012</v>
      </c>
      <c r="F39" s="15">
        <f>$C39*(1+$D39)^(F$4-2025)</f>
        <v>6003282.4474994484</v>
      </c>
      <c r="G39" s="15">
        <f>$C39*(1+$D39)^(G$4-2025)</f>
        <v>6224106.5677630454</v>
      </c>
      <c r="H39" s="15">
        <f>$C39*(1+$D39)^(H$4-2025)</f>
        <v>6453053.4596131276</v>
      </c>
      <c r="I39" s="15">
        <f>$C39*(1+$D39)^(I$4-2025)</f>
        <v>6690421.9102390977</v>
      </c>
      <c r="J39" s="15">
        <f>$C39*(1+$D39)^(J$4-2025)</f>
        <v>6936521.697387415</v>
      </c>
      <c r="K39" s="15">
        <f>$C39*(1+$D39)^(K$4-2025)</f>
        <v>7191673.9936371027</v>
      </c>
      <c r="L39" s="15">
        <f>$C39*(1+$D39)^(L$4-2025)</f>
        <v>7456211.7855460923</v>
      </c>
      <c r="M39" s="15">
        <f>$C39*(1+$D39)^(M$4-2025)</f>
        <v>7730480.3082154039</v>
      </c>
      <c r="N39" s="15">
        <f>$C39*(1+$D39)^(N$4-2025)</f>
        <v>8014837.4958382808</v>
      </c>
      <c r="O39" s="15">
        <f>$C39*(1+$D39)^(O$4-2025)</f>
        <v>8309654.4488222906</v>
      </c>
      <c r="P39" s="15">
        <f>$C39*(1+$D39)^(P$4-2025)</f>
        <v>8615315.9180939868</v>
      </c>
      <c r="Q39" s="15">
        <f>$C39*(1+$D39)^(Q$4-2025)</f>
        <v>8932220.8072181866</v>
      </c>
      <c r="R39" s="15">
        <f>$C39*(1+$D39)^(R$4-2025)</f>
        <v>9260782.6929871514</v>
      </c>
      <c r="S39" s="15">
        <f>$C39*(1+$D39)^(S$4-2025)</f>
        <v>9601430.365159072</v>
      </c>
      <c r="T39" s="15">
        <f>$C39*(1+$D39)^(T$4-2025)</f>
        <v>9954608.3860502224</v>
      </c>
      <c r="U39" s="15">
        <f>$C39*(1+$D39)^(U$4-2025)</f>
        <v>10320777.670711115</v>
      </c>
      <c r="V39" s="15">
        <f>$C39*(1+$D39)^(V$4-2025)</f>
        <v>10700416.088443778</v>
      </c>
      <c r="W39" s="15">
        <f>$C39*(1+$D39)^(W$4-2025)</f>
        <v>11094019.08644519</v>
      </c>
      <c r="X39" s="15">
        <f>$C39*(1+$D39)^(X$4-2025)</f>
        <v>11502100.33639075</v>
      </c>
    </row>
    <row r="40" spans="1:24">
      <c r="A40" s="24" t="str">
        <f>'Historical FY16-FY25'!A40</f>
        <v>Gloucester County</v>
      </c>
      <c r="B40" s="24" t="str">
        <f>'Historical FY16-FY25'!B40</f>
        <v>County</v>
      </c>
      <c r="C40" s="25">
        <f>'Historical FY16-FY25'!H40</f>
        <v>14145907</v>
      </c>
      <c r="D40" s="19">
        <f>MIN(Assumptions!$B$27,MAX(Assumptions!$B$26,Assumptions!$B$24+Assumptions!$B$25*('Historical FY16-FY25'!J40-Assumptions!$B$20)))</f>
        <v>4.7517878776552558E-2</v>
      </c>
      <c r="E40" s="18">
        <f>$C40*(1+$D40)^(E$4-2025)</f>
        <v>14818090.494010385</v>
      </c>
      <c r="F40" s="18">
        <f>$C40*(1+$D40)^(F$4-2025)</f>
        <v>15522214.721804755</v>
      </c>
      <c r="G40" s="18">
        <f>$C40*(1+$D40)^(G$4-2025)</f>
        <v>16259797.43929909</v>
      </c>
      <c r="H40" s="18">
        <f>$C40*(1+$D40)^(H$4-2025)</f>
        <v>17032428.522951003</v>
      </c>
      <c r="I40" s="18">
        <f>$C40*(1+$D40)^(I$4-2025)</f>
        <v>17841773.396774884</v>
      </c>
      <c r="J40" s="18">
        <f>$C40*(1+$D40)^(J$4-2025)</f>
        <v>18689576.622201547</v>
      </c>
      <c r="K40" s="18">
        <f>$C40*(1+$D40)^(K$4-2025)</f>
        <v>19577665.658520412</v>
      </c>
      <c r="L40" s="18">
        <f>$C40*(1+$D40)^(L$4-2025)</f>
        <v>20507954.802009858</v>
      </c>
      <c r="M40" s="18">
        <f>$C40*(1+$D40)^(M$4-2025)</f>
        <v>21482449.312246781</v>
      </c>
      <c r="N40" s="18">
        <f>$C40*(1+$D40)^(N$4-2025)</f>
        <v>22503249.734489553</v>
      </c>
      <c r="O40" s="18">
        <f>$C40*(1+$D40)^(O$4-2025)</f>
        <v>23572556.427451517</v>
      </c>
      <c r="P40" s="18">
        <f>$C40*(1+$D40)^(P$4-2025)</f>
        <v>24692674.306224599</v>
      </c>
      <c r="Q40" s="18">
        <f>$C40*(1+$D40)^(Q$4-2025)</f>
        <v>25866017.81057667</v>
      </c>
      <c r="R40" s="18">
        <f>$C40*(1+$D40)^(R$4-2025)</f>
        <v>27095116.109331798</v>
      </c>
      <c r="S40" s="18">
        <f>$C40*(1+$D40)^(S$4-2025)</f>
        <v>28382618.552051645</v>
      </c>
      <c r="T40" s="18">
        <f>$C40*(1+$D40)^(T$4-2025)</f>
        <v>29731300.379769158</v>
      </c>
      <c r="U40" s="18">
        <f>$C40*(1+$D40)^(U$4-2025)</f>
        <v>31144068.707084298</v>
      </c>
      <c r="V40" s="18">
        <f>$C40*(1+$D40)^(V$4-2025)</f>
        <v>32623968.788516149</v>
      </c>
      <c r="W40" s="18">
        <f>$C40*(1+$D40)^(W$4-2025)</f>
        <v>34174190.582618892</v>
      </c>
      <c r="X40" s="18">
        <f>$C40*(1+$D40)^(X$4-2025)</f>
        <v>35798075.628010578</v>
      </c>
    </row>
    <row r="41" spans="1:24">
      <c r="A41" s="22" t="str">
        <f>'Historical FY16-FY25'!A41</f>
        <v>Goochland County</v>
      </c>
      <c r="B41" s="22" t="str">
        <f>'Historical FY16-FY25'!B41</f>
        <v>County</v>
      </c>
      <c r="C41" s="23">
        <f>'Historical FY16-FY25'!H41</f>
        <v>9754328</v>
      </c>
      <c r="D41" s="10">
        <f>MIN(Assumptions!$B$27,MAX(Assumptions!$B$26,Assumptions!$B$24+Assumptions!$B$25*('Historical FY16-FY25'!J41-Assumptions!$B$20)))</f>
        <v>5.7373726648778711E-2</v>
      </c>
      <c r="E41" s="15">
        <f>$C41*(1+$D41)^(E$4-2025)</f>
        <v>10313970.148314528</v>
      </c>
      <c r="F41" s="15">
        <f>$C41*(1+$D41)^(F$4-2025)</f>
        <v>10905721.052267589</v>
      </c>
      <c r="G41" s="15">
        <f>$C41*(1+$D41)^(G$4-2025)</f>
        <v>11531422.910828218</v>
      </c>
      <c r="H41" s="15">
        <f>$C41*(1+$D41)^(H$4-2025)</f>
        <v>12193023.616785541</v>
      </c>
      <c r="I41" s="15">
        <f>$C41*(1+$D41)^(I$4-2025)</f>
        <v>12892582.820797095</v>
      </c>
      <c r="J41" s="15">
        <f>$C41*(1+$D41)^(J$4-2025)</f>
        <v>13632278.343354248</v>
      </c>
      <c r="K41" s="15">
        <f>$C41*(1+$D41)^(K$4-2025)</f>
        <v>14414412.954625919</v>
      </c>
      <c r="L41" s="15">
        <f>$C41*(1+$D41)^(L$4-2025)</f>
        <v>15241421.543287242</v>
      </c>
      <c r="M41" s="15">
        <f>$C41*(1+$D41)^(M$4-2025)</f>
        <v>16115878.696650609</v>
      </c>
      <c r="N41" s="15">
        <f>$C41*(1+$D41)^(N$4-2025)</f>
        <v>17040506.715697117</v>
      </c>
      <c r="O41" s="15">
        <f>$C41*(1+$D41)^(O$4-2025)</f>
        <v>18018184.089960199</v>
      </c>
      <c r="P41" s="15">
        <f>$C41*(1+$D41)^(P$4-2025)</f>
        <v>19051954.458644949</v>
      </c>
      <c r="Q41" s="15">
        <f>$C41*(1+$D41)^(Q$4-2025)</f>
        <v>20145036.08588022</v>
      </c>
      <c r="R41" s="15">
        <f>$C41*(1+$D41)^(R$4-2025)</f>
        <v>21300831.879601292</v>
      </c>
      <c r="S41" s="15">
        <f>$C41*(1+$D41)^(S$4-2025)</f>
        <v>22522939.985253125</v>
      </c>
      <c r="T41" s="15">
        <f>$C41*(1+$D41)^(T$4-2025)</f>
        <v>23815164.987293888</v>
      </c>
      <c r="U41" s="15">
        <f>$C41*(1+$D41)^(U$4-2025)</f>
        <v>25181529.753370449</v>
      </c>
      <c r="V41" s="15">
        <f>$C41*(1+$D41)^(V$4-2025)</f>
        <v>26626287.958038412</v>
      </c>
      <c r="W41" s="15">
        <f>$C41*(1+$D41)^(W$4-2025)</f>
        <v>28153937.325014576</v>
      </c>
      <c r="X41" s="15">
        <f>$C41*(1+$D41)^(X$4-2025)</f>
        <v>29769233.629186813</v>
      </c>
    </row>
    <row r="42" spans="1:24">
      <c r="A42" s="24" t="str">
        <f>'Historical FY16-FY25'!A42</f>
        <v>Grayson County</v>
      </c>
      <c r="B42" s="24" t="str">
        <f>'Historical FY16-FY25'!B42</f>
        <v>County</v>
      </c>
      <c r="C42" s="25">
        <f>'Historical FY16-FY25'!H42</f>
        <v>3008502</v>
      </c>
      <c r="D42" s="19">
        <f>MIN(Assumptions!$B$27,MAX(Assumptions!$B$26,Assumptions!$B$24+Assumptions!$B$25*('Historical FY16-FY25'!J42-Assumptions!$B$20)))</f>
        <v>3.4885096514247205E-2</v>
      </c>
      <c r="E42" s="18">
        <f>$C42*(1+$D42)^(E$4-2025)</f>
        <v>3113453.8826333061</v>
      </c>
      <c r="F42" s="18">
        <f>$C42*(1+$D42)^(F$4-2025)</f>
        <v>3222067.0218216269</v>
      </c>
      <c r="G42" s="18">
        <f>$C42*(1+$D42)^(G$4-2025)</f>
        <v>3334469.1408532476</v>
      </c>
      <c r="H42" s="18">
        <f>$C42*(1+$D42)^(H$4-2025)</f>
        <v>3450792.4186556921</v>
      </c>
      <c r="I42" s="18">
        <f>$C42*(1+$D42)^(I$4-2025)</f>
        <v>3571173.6452311291</v>
      </c>
      <c r="J42" s="18">
        <f>$C42*(1+$D42)^(J$4-2025)</f>
        <v>3695754.3825141531</v>
      </c>
      <c r="K42" s="18">
        <f>$C42*(1+$D42)^(K$4-2025)</f>
        <v>3824681.1308411118</v>
      </c>
      <c r="L42" s="18">
        <f>$C42*(1+$D42)^(L$4-2025)</f>
        <v>3958105.5012267241</v>
      </c>
      <c r="M42" s="18">
        <f>$C42*(1+$D42)^(M$4-2025)</f>
        <v>4096184.3936505918</v>
      </c>
      <c r="N42" s="18">
        <f>$C42*(1+$D42)^(N$4-2025)</f>
        <v>4239080.1815632461</v>
      </c>
      <c r="O42" s="18">
        <f>$C42*(1+$D42)^(O$4-2025)</f>
        <v>4386960.9028287129</v>
      </c>
      <c r="P42" s="18">
        <f>$C42*(1+$D42)^(P$4-2025)</f>
        <v>4540000.4573281221</v>
      </c>
      <c r="Q42" s="18">
        <f>$C42*(1+$D42)^(Q$4-2025)</f>
        <v>4698378.8114567408</v>
      </c>
      <c r="R42" s="18">
        <f>$C42*(1+$D42)^(R$4-2025)</f>
        <v>4862282.2097549029</v>
      </c>
      <c r="S42" s="18">
        <f>$C42*(1+$D42)^(S$4-2025)</f>
        <v>5031903.3939217106</v>
      </c>
      <c r="T42" s="18">
        <f>$C42*(1+$D42)^(T$4-2025)</f>
        <v>5207441.8294690372</v>
      </c>
      <c r="U42" s="18">
        <f>$C42*(1+$D42)^(U$4-2025)</f>
        <v>5389103.9402823932</v>
      </c>
      <c r="V42" s="18">
        <f>$C42*(1+$D42)^(V$4-2025)</f>
        <v>5577103.3513644543</v>
      </c>
      <c r="W42" s="18">
        <f>$C42*(1+$D42)^(W$4-2025)</f>
        <v>5771661.1400467353</v>
      </c>
      <c r="X42" s="18">
        <f>$C42*(1+$D42)^(X$4-2025)</f>
        <v>5973006.0959647959</v>
      </c>
    </row>
    <row r="43" spans="1:24">
      <c r="A43" s="22" t="str">
        <f>'Historical FY16-FY25'!A43</f>
        <v>Greene County</v>
      </c>
      <c r="B43" s="22" t="str">
        <f>'Historical FY16-FY25'!B43</f>
        <v>County</v>
      </c>
      <c r="C43" s="23">
        <f>'Historical FY16-FY25'!H43</f>
        <v>7576351</v>
      </c>
      <c r="D43" s="10">
        <f>MIN(Assumptions!$B$27,MAX(Assumptions!$B$26,Assumptions!$B$24+Assumptions!$B$25*('Historical FY16-FY25'!J43-Assumptions!$B$20)))</f>
        <v>4.862579076083462E-2</v>
      </c>
      <c r="E43" s="15">
        <f>$C43*(1+$D43)^(E$4-2025)</f>
        <v>7944757.0584566388</v>
      </c>
      <c r="F43" s="15">
        <f>$C43*(1+$D43)^(F$4-2025)</f>
        <v>8331077.152826814</v>
      </c>
      <c r="G43" s="15">
        <f>$C43*(1+$D43)^(G$4-2025)</f>
        <v>8736182.3672725391</v>
      </c>
      <c r="H43" s="15">
        <f>$C43*(1+$D43)^(H$4-2025)</f>
        <v>9160986.1431120262</v>
      </c>
      <c r="I43" s="15">
        <f>$C43*(1+$D43)^(I$4-2025)</f>
        <v>9606446.3384698946</v>
      </c>
      <c r="J43" s="15">
        <f>$C43*(1+$D43)^(J$4-2025)</f>
        <v>10073567.388079518</v>
      </c>
      <c r="K43" s="15">
        <f>$C43*(1+$D43)^(K$4-2025)</f>
        <v>10563402.568107437</v>
      </c>
      <c r="L43" s="15">
        <f>$C43*(1+$D43)^(L$4-2025)</f>
        <v>11077056.371106692</v>
      </c>
      <c r="M43" s="15">
        <f>$C43*(1+$D43)^(M$4-2025)</f>
        <v>11615686.996454095</v>
      </c>
      <c r="N43" s="15">
        <f>$C43*(1+$D43)^(N$4-2025)</f>
        <v>12180508.961887017</v>
      </c>
      <c r="O43" s="15">
        <f>$C43*(1+$D43)^(O$4-2025)</f>
        <v>12772795.842028204</v>
      </c>
      <c r="P43" s="15">
        <f>$C43*(1+$D43)^(P$4-2025)</f>
        <v>13393883.140073527</v>
      </c>
      <c r="Q43" s="15">
        <f>$C43*(1+$D43)^(Q$4-2025)</f>
        <v>14045171.299117809</v>
      </c>
      <c r="R43" s="15">
        <f>$C43*(1+$D43)^(R$4-2025)</f>
        <v>14728128.859908789</v>
      </c>
      <c r="S43" s="15">
        <f>$C43*(1+$D43)^(S$4-2025)</f>
        <v>15444295.772149321</v>
      </c>
      <c r="T43" s="15">
        <f>$C43*(1+$D43)^(T$4-2025)</f>
        <v>16195286.866814295</v>
      </c>
      <c r="U43" s="15">
        <f>$C43*(1+$D43)^(U$4-2025)</f>
        <v>16982795.4973117</v>
      </c>
      <c r="V43" s="15">
        <f>$C43*(1+$D43)^(V$4-2025)</f>
        <v>17808597.357698016</v>
      </c>
      <c r="W43" s="15">
        <f>$C43*(1+$D43)^(W$4-2025)</f>
        <v>18674554.486557391</v>
      </c>
      <c r="X43" s="15">
        <f>$C43*(1+$D43)^(X$4-2025)</f>
        <v>19582619.465572536</v>
      </c>
    </row>
    <row r="44" spans="1:24">
      <c r="A44" s="24" t="str">
        <f>'Historical FY16-FY25'!A44</f>
        <v>Greensville County</v>
      </c>
      <c r="B44" s="24" t="str">
        <f>'Historical FY16-FY25'!B44</f>
        <v>County</v>
      </c>
      <c r="C44" s="25">
        <f>'Historical FY16-FY25'!H44</f>
        <v>2609574</v>
      </c>
      <c r="D44" s="19">
        <f>MIN(Assumptions!$B$27,MAX(Assumptions!$B$26,Assumptions!$B$24+Assumptions!$B$25*('Historical FY16-FY25'!J44-Assumptions!$B$20)))</f>
        <v>1.7971482390411797E-2</v>
      </c>
      <c r="E44" s="18">
        <f>$C44*(1+$D44)^(E$4-2025)</f>
        <v>2656471.9131874763</v>
      </c>
      <c r="F44" s="18">
        <f>$C44*(1+$D44)^(F$4-2025)</f>
        <v>2704212.6513959491</v>
      </c>
      <c r="G44" s="18">
        <f>$C44*(1+$D44)^(G$4-2025)</f>
        <v>2752811.3614404402</v>
      </c>
      <c r="H44" s="18">
        <f>$C44*(1+$D44)^(H$4-2025)</f>
        <v>2802283.4623466921</v>
      </c>
      <c r="I44" s="18">
        <f>$C44*(1+$D44)^(I$4-2025)</f>
        <v>2852644.650243198</v>
      </c>
      <c r="J44" s="18">
        <f>$C44*(1+$D44)^(J$4-2025)</f>
        <v>2903910.9033411462</v>
      </c>
      <c r="K44" s="18">
        <f>$C44*(1+$D44)^(K$4-2025)</f>
        <v>2956098.4870038666</v>
      </c>
      <c r="L44" s="18">
        <f>$C44*(1+$D44)^(L$4-2025)</f>
        <v>3009223.9589073793</v>
      </c>
      <c r="M44" s="18">
        <f>$C44*(1+$D44)^(M$4-2025)</f>
        <v>3063304.1742936885</v>
      </c>
      <c r="N44" s="18">
        <f>$C44*(1+$D44)^(N$4-2025)</f>
        <v>3118356.2913184827</v>
      </c>
      <c r="O44" s="18">
        <f>$C44*(1+$D44)^(O$4-2025)</f>
        <v>3174397.7764949426</v>
      </c>
      <c r="P44" s="18">
        <f>$C44*(1+$D44)^(P$4-2025)</f>
        <v>3231446.4102353835</v>
      </c>
      <c r="Q44" s="18">
        <f>$C44*(1+$D44)^(Q$4-2025)</f>
        <v>3289520.2924924884</v>
      </c>
      <c r="R44" s="18">
        <f>$C44*(1+$D44)^(R$4-2025)</f>
        <v>3348637.8485019193</v>
      </c>
      <c r="S44" s="18">
        <f>$C44*(1+$D44)^(S$4-2025)</f>
        <v>3408817.8346281382</v>
      </c>
      <c r="T44" s="18">
        <f>$C44*(1+$D44)^(T$4-2025)</f>
        <v>3470079.3443152793</v>
      </c>
      <c r="U44" s="18">
        <f>$C44*(1+$D44)^(U$4-2025)</f>
        <v>3532441.8141449727</v>
      </c>
      <c r="V44" s="18">
        <f>$C44*(1+$D44)^(V$4-2025)</f>
        <v>3595925.0300030336</v>
      </c>
      <c r="W44" s="18">
        <f>$C44*(1+$D44)^(W$4-2025)</f>
        <v>3660549.1333569745</v>
      </c>
      <c r="X44" s="18">
        <f>$C44*(1+$D44)^(X$4-2025)</f>
        <v>3726334.6276463359</v>
      </c>
    </row>
    <row r="45" spans="1:24">
      <c r="A45" s="22" t="str">
        <f>'Historical FY16-FY25'!A45</f>
        <v>Halifax County</v>
      </c>
      <c r="B45" s="22" t="str">
        <f>'Historical FY16-FY25'!B45</f>
        <v>County</v>
      </c>
      <c r="C45" s="23">
        <f>'Historical FY16-FY25'!H45</f>
        <v>11502063</v>
      </c>
      <c r="D45" s="10">
        <f>MIN(Assumptions!$B$27,MAX(Assumptions!$B$26,Assumptions!$B$24+Assumptions!$B$25*('Historical FY16-FY25'!J45-Assumptions!$B$20)))</f>
        <v>4.1493693002735643E-2</v>
      </c>
      <c r="E45" s="15">
        <f>$C45*(1+$D45)^(E$4-2025)</f>
        <v>11979326.071020124</v>
      </c>
      <c r="F45" s="15">
        <f>$C45*(1+$D45)^(F$4-2025)</f>
        <v>12476392.549390702</v>
      </c>
      <c r="G45" s="15">
        <f>$C45*(1+$D45)^(G$4-2025)</f>
        <v>12994084.151616737</v>
      </c>
      <c r="H45" s="15">
        <f>$C45*(1+$D45)^(H$4-2025)</f>
        <v>13533256.690255634</v>
      </c>
      <c r="I45" s="15">
        <f>$C45*(1+$D45)^(I$4-2025)</f>
        <v>14094801.488688322</v>
      </c>
      <c r="J45" s="15">
        <f>$C45*(1+$D45)^(J$4-2025)</f>
        <v>14679646.854594454</v>
      </c>
      <c r="K45" s="15">
        <f>$C45*(1+$D45)^(K$4-2025)</f>
        <v>15288759.614567572</v>
      </c>
      <c r="L45" s="15">
        <f>$C45*(1+$D45)^(L$4-2025)</f>
        <v>15923146.712407062</v>
      </c>
      <c r="M45" s="15">
        <f>$C45*(1+$D45)^(M$4-2025)</f>
        <v>16583856.873729201</v>
      </c>
      <c r="N45" s="15">
        <f>$C45*(1+$D45)^(N$4-2025)</f>
        <v>17271982.339649025</v>
      </c>
      <c r="O45" s="15">
        <f>$C45*(1+$D45)^(O$4-2025)</f>
        <v>17988660.672399092</v>
      </c>
      <c r="P45" s="15">
        <f>$C45*(1+$D45)^(P$4-2025)</f>
        <v>18735076.63587001</v>
      </c>
      <c r="Q45" s="15">
        <f>$C45*(1+$D45)^(Q$4-2025)</f>
        <v>19512464.154181525</v>
      </c>
      <c r="R45" s="15">
        <f>$C45*(1+$D45)^(R$4-2025)</f>
        <v>20322108.351522014</v>
      </c>
      <c r="S45" s="15">
        <f>$C45*(1+$D45)^(S$4-2025)</f>
        <v>21165347.6766284</v>
      </c>
      <c r="T45" s="15">
        <f>$C45*(1+$D45)^(T$4-2025)</f>
        <v>22043576.115418583</v>
      </c>
      <c r="U45" s="15">
        <f>$C45*(1+$D45)^(U$4-2025)</f>
        <v>22958245.495434199</v>
      </c>
      <c r="V45" s="15">
        <f>$C45*(1+$D45)^(V$4-2025)</f>
        <v>23910867.885903183</v>
      </c>
      <c r="W45" s="15">
        <f>$C45*(1+$D45)^(W$4-2025)</f>
        <v>24903018.097389821</v>
      </c>
      <c r="X45" s="15">
        <f>$C45*(1+$D45)^(X$4-2025)</f>
        <v>25936336.285164483</v>
      </c>
    </row>
    <row r="46" spans="1:24">
      <c r="A46" s="24" t="str">
        <f>'Historical FY16-FY25'!A46</f>
        <v>Hanover County</v>
      </c>
      <c r="B46" s="24" t="str">
        <f>'Historical FY16-FY25'!B46</f>
        <v>County</v>
      </c>
      <c r="C46" s="25">
        <f>'Historical FY16-FY25'!H46</f>
        <v>57496486</v>
      </c>
      <c r="D46" s="19">
        <f>MIN(Assumptions!$B$27,MAX(Assumptions!$B$26,Assumptions!$B$24+Assumptions!$B$25*('Historical FY16-FY25'!J46-Assumptions!$B$20)))</f>
        <v>4.9684814009093303E-2</v>
      </c>
      <c r="E46" s="18">
        <f>$C46*(1+$D46)^(E$4-2025)</f>
        <v>60353188.213086434</v>
      </c>
      <c r="F46" s="18">
        <f>$C46*(1+$D46)^(F$4-2025)</f>
        <v>63351825.144309439</v>
      </c>
      <c r="G46" s="18">
        <f>$C46*(1+$D46)^(G$4-2025)</f>
        <v>66499448.793741047</v>
      </c>
      <c r="H46" s="18">
        <f>$C46*(1+$D46)^(H$4-2025)</f>
        <v>69803461.538765296</v>
      </c>
      <c r="I46" s="18">
        <f>$C46*(1+$D46)^(I$4-2025)</f>
        <v>73271633.54250975</v>
      </c>
      <c r="J46" s="18">
        <f>$C46*(1+$D46)^(J$4-2025)</f>
        <v>76912121.027211785</v>
      </c>
      <c r="K46" s="18">
        <f>$C46*(1+$D46)^(K$4-2025)</f>
        <v>80733485.455493674</v>
      </c>
      <c r="L46" s="18">
        <f>$C46*(1+$D46)^(L$4-2025)</f>
        <v>84744713.66465573</v>
      </c>
      <c r="M46" s="18">
        <f>$C46*(1+$D46)^(M$4-2025)</f>
        <v>88955239.00133802</v>
      </c>
      <c r="N46" s="18">
        <f>$C46*(1+$D46)^(N$4-2025)</f>
        <v>93374963.506253943</v>
      </c>
      <c r="O46" s="18">
        <f>$C46*(1+$D46)^(O$4-2025)</f>
        <v>98014281.201168031</v>
      </c>
      <c r="P46" s="18">
        <f>$C46*(1+$D46)^(P$4-2025)</f>
        <v>102884102.53288303</v>
      </c>
      <c r="Q46" s="18">
        <f>$C46*(1+$D46)^(Q$4-2025)</f>
        <v>107995880.0317218</v>
      </c>
      <c r="R46" s="18">
        <f>$C46*(1+$D46)^(R$4-2025)</f>
        <v>113361635.24484625</v>
      </c>
      <c r="S46" s="18">
        <f>$C46*(1+$D46)^(S$4-2025)</f>
        <v>118993987.00775312</v>
      </c>
      <c r="T46" s="18">
        <f>$C46*(1+$D46)^(T$4-2025)</f>
        <v>124906181.12043382</v>
      </c>
      <c r="U46" s="18">
        <f>$C46*(1+$D46)^(U$4-2025)</f>
        <v>131112121.4979887</v>
      </c>
      <c r="V46" s="18">
        <f>$C46*(1+$D46)^(V$4-2025)</f>
        <v>137626402.86895391</v>
      </c>
      <c r="W46" s="18">
        <f>$C46*(1+$D46)^(W$4-2025)</f>
        <v>144464345.09823841</v>
      </c>
      <c r="X46" s="18">
        <f>$C46*(1+$D46)^(X$4-2025)</f>
        <v>151642029.21538988</v>
      </c>
    </row>
    <row r="47" spans="1:24">
      <c r="A47" s="22" t="str">
        <f>'Historical FY16-FY25'!A47</f>
        <v>Henrico County</v>
      </c>
      <c r="B47" s="22" t="str">
        <f>'Historical FY16-FY25'!B47</f>
        <v>County</v>
      </c>
      <c r="C47" s="23">
        <f>'Historical FY16-FY25'!H47</f>
        <v>158466118</v>
      </c>
      <c r="D47" s="10">
        <f>MIN(Assumptions!$B$27,MAX(Assumptions!$B$26,Assumptions!$B$24+Assumptions!$B$25*('Historical FY16-FY25'!J47-Assumptions!$B$20)))</f>
        <v>4.3598441438329361E-2</v>
      </c>
      <c r="E47" s="15">
        <f>$C47*(1+$D47)^(E$4-2025)</f>
        <v>165374993.76558238</v>
      </c>
      <c r="F47" s="15">
        <f>$C47*(1+$D47)^(F$4-2025)</f>
        <v>172585085.74663517</v>
      </c>
      <c r="G47" s="15">
        <f>$C47*(1+$D47)^(G$4-2025)</f>
        <v>180109526.50068888</v>
      </c>
      <c r="H47" s="15">
        <f>$C47*(1+$D47)^(H$4-2025)</f>
        <v>187962021.14431435</v>
      </c>
      <c r="I47" s="15">
        <f>$C47*(1+$D47)^(I$4-2025)</f>
        <v>196156872.31580475</v>
      </c>
      <c r="J47" s="15">
        <f>$C47*(1+$D47)^(J$4-2025)</f>
        <v>204709006.22619116</v>
      </c>
      <c r="K47" s="15">
        <f>$C47*(1+$D47)^(K$4-2025)</f>
        <v>213633999.84604236</v>
      </c>
      <c r="L47" s="15">
        <f>$C47*(1+$D47)^(L$4-2025)</f>
        <v>222948109.27756608</v>
      </c>
      <c r="M47" s="15">
        <f>$C47*(1+$D47)^(M$4-2025)</f>
        <v>232668299.36369026</v>
      </c>
      <c r="N47" s="15">
        <f>$C47*(1+$D47)^(N$4-2025)</f>
        <v>242812274.58805376</v>
      </c>
      <c r="O47" s="15">
        <f>$C47*(1+$D47)^(O$4-2025)</f>
        <v>253398511.32218856</v>
      </c>
      <c r="P47" s="15">
        <f>$C47*(1+$D47)^(P$4-2025)</f>
        <v>264446291.47862875</v>
      </c>
      <c r="Q47" s="15">
        <f>$C47*(1+$D47)^(Q$4-2025)</f>
        <v>275975737.63124311</v>
      </c>
      <c r="R47" s="15">
        <f>$C47*(1+$D47)^(R$4-2025)</f>
        <v>288007849.66675854</v>
      </c>
      <c r="S47" s="15">
        <f>$C47*(1+$D47)^(S$4-2025)</f>
        <v>300564543.03423387</v>
      </c>
      <c r="T47" s="15">
        <f>$C47*(1+$D47)^(T$4-2025)</f>
        <v>313668688.66215014</v>
      </c>
      <c r="U47" s="15">
        <f>$C47*(1+$D47)^(U$4-2025)</f>
        <v>327344154.6158244</v>
      </c>
      <c r="V47" s="15">
        <f>$C47*(1+$D47)^(V$4-2025)</f>
        <v>341615849.5710218</v>
      </c>
      <c r="W47" s="15">
        <f>$C47*(1+$D47)^(W$4-2025)</f>
        <v>356509768.18294907</v>
      </c>
      <c r="X47" s="15">
        <f>$C47*(1+$D47)^(X$4-2025)</f>
        <v>372053038.43326569</v>
      </c>
    </row>
    <row r="48" spans="1:24">
      <c r="A48" s="24" t="str">
        <f>'Historical FY16-FY25'!A48</f>
        <v>Henry County</v>
      </c>
      <c r="B48" s="24" t="str">
        <f>'Historical FY16-FY25'!B48</f>
        <v>County</v>
      </c>
      <c r="C48" s="25">
        <f>'Historical FY16-FY25'!H48</f>
        <v>14931696</v>
      </c>
      <c r="D48" s="19">
        <f>MIN(Assumptions!$B$27,MAX(Assumptions!$B$26,Assumptions!$B$24+Assumptions!$B$25*('Historical FY16-FY25'!J48-Assumptions!$B$20)))</f>
        <v>3.8971927405724194E-2</v>
      </c>
      <c r="E48" s="18">
        <f>$C48*(1+$D48)^(E$4-2025)</f>
        <v>15513612.972556343</v>
      </c>
      <c r="F48" s="18">
        <f>$C48*(1+$D48)^(F$4-2025)</f>
        <v>16118208.371123312</v>
      </c>
      <c r="G48" s="18">
        <f>$C48*(1+$D48)^(G$4-2025)</f>
        <v>16746366.017673068</v>
      </c>
      <c r="H48" s="18">
        <f>$C48*(1+$D48)^(H$4-2025)</f>
        <v>17399004.178423509</v>
      </c>
      <c r="I48" s="18">
        <f>$C48*(1+$D48)^(I$4-2025)</f>
        <v>18077076.906196922</v>
      </c>
      <c r="J48" s="18">
        <f>$C48*(1+$D48)^(J$4-2025)</f>
        <v>18781575.435092922</v>
      </c>
      <c r="K48" s="18">
        <f>$C48*(1+$D48)^(K$4-2025)</f>
        <v>19513529.6295145</v>
      </c>
      <c r="L48" s="18">
        <f>$C48*(1+$D48)^(L$4-2025)</f>
        <v>20274009.489665385</v>
      </c>
      <c r="M48" s="18">
        <f>$C48*(1+$D48)^(M$4-2025)</f>
        <v>21064126.715719588</v>
      </c>
      <c r="N48" s="18">
        <f>$C48*(1+$D48)^(N$4-2025)</f>
        <v>21885036.332949586</v>
      </c>
      <c r="O48" s="18">
        <f>$C48*(1+$D48)^(O$4-2025)</f>
        <v>22737938.380188942</v>
      </c>
      <c r="P48" s="18">
        <f>$C48*(1+$D48)^(P$4-2025)</f>
        <v>23624079.664097495</v>
      </c>
      <c r="Q48" s="18">
        <f>$C48*(1+$D48)^(Q$4-2025)</f>
        <v>24544755.581793748</v>
      </c>
      <c r="R48" s="18">
        <f>$C48*(1+$D48)^(R$4-2025)</f>
        <v>25501312.014518656</v>
      </c>
      <c r="S48" s="18">
        <f>$C48*(1+$D48)^(S$4-2025)</f>
        <v>26495147.295099206</v>
      </c>
      <c r="T48" s="18">
        <f>$C48*(1+$D48)^(T$4-2025)</f>
        <v>27527714.252087779</v>
      </c>
      <c r="U48" s="18">
        <f>$C48*(1+$D48)^(U$4-2025)</f>
        <v>28600522.333565664</v>
      </c>
      <c r="V48" s="18">
        <f>$C48*(1+$D48)^(V$4-2025)</f>
        <v>29715139.813715179</v>
      </c>
      <c r="W48" s="18">
        <f>$C48*(1+$D48)^(W$4-2025)</f>
        <v>30873196.085386239</v>
      </c>
      <c r="X48" s="18">
        <f>$C48*(1+$D48)^(X$4-2025)</f>
        <v>32076384.042008597</v>
      </c>
    </row>
    <row r="49" spans="1:24">
      <c r="A49" s="22" t="str">
        <f>'Historical FY16-FY25'!A49</f>
        <v>Highland County</v>
      </c>
      <c r="B49" s="22" t="str">
        <f>'Historical FY16-FY25'!B49</f>
        <v>County</v>
      </c>
      <c r="C49" s="23">
        <f>'Historical FY16-FY25'!H49</f>
        <v>492415</v>
      </c>
      <c r="D49" s="10">
        <f>MIN(Assumptions!$B$27,MAX(Assumptions!$B$26,Assumptions!$B$24+Assumptions!$B$25*('Historical FY16-FY25'!J49-Assumptions!$B$20)))</f>
        <v>4.8491103861084017E-2</v>
      </c>
      <c r="E49" s="15">
        <f>$C49*(1+$D49)^(E$4-2025)</f>
        <v>516292.74690775567</v>
      </c>
      <c r="F49" s="15">
        <f>$C49*(1+$D49)^(F$4-2025)</f>
        <v>541328.35212078399</v>
      </c>
      <c r="G49" s="15">
        <f>$C49*(1+$D49)^(G$4-2025)</f>
        <v>567577.96146642242</v>
      </c>
      <c r="H49" s="15">
        <f>$C49*(1+$D49)^(H$4-2025)</f>
        <v>595100.44334515301</v>
      </c>
      <c r="I49" s="15">
        <f>$C49*(1+$D49)^(I$4-2025)</f>
        <v>623957.52075118001</v>
      </c>
      <c r="J49" s="15">
        <f>$C49*(1+$D49)^(J$4-2025)</f>
        <v>654213.90969482996</v>
      </c>
      <c r="K49" s="15">
        <f>$C49*(1+$D49)^(K$4-2025)</f>
        <v>685937.46433720784</v>
      </c>
      <c r="L49" s="15">
        <f>$C49*(1+$D49)^(L$4-2025)</f>
        <v>719199.32916259195</v>
      </c>
      <c r="M49" s="15">
        <f>$C49*(1+$D49)^(M$4-2025)</f>
        <v>754074.09852983721</v>
      </c>
      <c r="N49" s="15">
        <f>$C49*(1+$D49)^(N$4-2025)</f>
        <v>790639.9839606008</v>
      </c>
      <c r="O49" s="15">
        <f>$C49*(1+$D49)^(O$4-2025)</f>
        <v>828978.98953956028</v>
      </c>
      <c r="P49" s="15">
        <f>$C49*(1+$D49)^(P$4-2025)</f>
        <v>869177.09581997944</v>
      </c>
      <c r="Q49" s="15">
        <f>$C49*(1+$D49)^(Q$4-2025)</f>
        <v>911324.45264706144</v>
      </c>
      <c r="R49" s="15">
        <f>$C49*(1+$D49)^(R$4-2025)</f>
        <v>955515.58133151557</v>
      </c>
      <c r="S49" s="15">
        <f>$C49*(1+$D49)^(S$4-2025)</f>
        <v>1001849.5866267462</v>
      </c>
      <c r="T49" s="15">
        <f>$C49*(1+$D49)^(T$4-2025)</f>
        <v>1050430.3789850478</v>
      </c>
      <c r="U49" s="15">
        <f>$C49*(1+$D49)^(U$4-2025)</f>
        <v>1101366.9075912498</v>
      </c>
      <c r="V49" s="15">
        <f>$C49*(1+$D49)^(V$4-2025)</f>
        <v>1154773.4046964177</v>
      </c>
      <c r="W49" s="15">
        <f>$C49*(1+$D49)^(W$4-2025)</f>
        <v>1210769.6417995696</v>
      </c>
      <c r="X49" s="15">
        <f>$C49*(1+$D49)^(X$4-2025)</f>
        <v>1269481.1982519198</v>
      </c>
    </row>
    <row r="50" spans="1:24">
      <c r="A50" s="24" t="str">
        <f>'Historical FY16-FY25'!A50</f>
        <v>Isle of Wight County</v>
      </c>
      <c r="B50" s="24" t="str">
        <f>'Historical FY16-FY25'!B50</f>
        <v>County</v>
      </c>
      <c r="C50" s="25">
        <f>'Historical FY16-FY25'!H50</f>
        <v>13361345</v>
      </c>
      <c r="D50" s="19">
        <f>MIN(Assumptions!$B$27,MAX(Assumptions!$B$26,Assumptions!$B$24+Assumptions!$B$25*('Historical FY16-FY25'!J50-Assumptions!$B$20)))</f>
        <v>5.8029867010322422E-2</v>
      </c>
      <c r="E50" s="18">
        <f>$C50*(1+$D50)^(E$4-2025)</f>
        <v>14136702.073429039</v>
      </c>
      <c r="F50" s="18">
        <f>$C50*(1+$D50)^(F$4-2025)</f>
        <v>14957053.014714677</v>
      </c>
      <c r="G50" s="18">
        <f>$C50*(1+$D50)^(G$4-2025)</f>
        <v>15825008.812024912</v>
      </c>
      <c r="H50" s="18">
        <f>$C50*(1+$D50)^(H$4-2025)</f>
        <v>16743331.968823902</v>
      </c>
      <c r="I50" s="18">
        <f>$C50*(1+$D50)^(I$4-2025)</f>
        <v>17714945.296284433</v>
      </c>
      <c r="J50" s="18">
        <f>$C50*(1+$D50)^(J$4-2025)</f>
        <v>18742941.215922963</v>
      </c>
      <c r="K50" s="18">
        <f>$C50*(1+$D50)^(K$4-2025)</f>
        <v>19830591.602065261</v>
      </c>
      <c r="L50" s="18">
        <f>$C50*(1+$D50)^(L$4-2025)</f>
        <v>20981358.195469134</v>
      </c>
      <c r="M50" s="18">
        <f>$C50*(1+$D50)^(M$4-2025)</f>
        <v>22198903.621248145</v>
      </c>
      <c r="N50" s="18">
        <f>$C50*(1+$D50)^(N$4-2025)</f>
        <v>23487103.046164148</v>
      </c>
      <c r="O50" s="18">
        <f>$C50*(1+$D50)^(O$4-2025)</f>
        <v>24850056.512390792</v>
      </c>
      <c r="P50" s="18">
        <f>$C50*(1+$D50)^(P$4-2025)</f>
        <v>26292101.987003833</v>
      </c>
      <c r="Q50" s="18">
        <f>$C50*(1+$D50)^(Q$4-2025)</f>
        <v>27817829.168731496</v>
      </c>
      <c r="R50" s="18">
        <f>$C50*(1+$D50)^(R$4-2025)</f>
        <v>29432094.095908862</v>
      </c>
      <c r="S50" s="18">
        <f>$C50*(1+$D50)^(S$4-2025)</f>
        <v>31140034.602129746</v>
      </c>
      <c r="T50" s="18">
        <f>$C50*(1+$D50)^(T$4-2025)</f>
        <v>32947086.668788187</v>
      </c>
      <c r="U50" s="18">
        <f>$C50*(1+$D50)^(U$4-2025)</f>
        <v>34859001.726555534</v>
      </c>
      <c r="V50" s="18">
        <f>$C50*(1+$D50)^(V$4-2025)</f>
        <v>36881864.960860156</v>
      </c>
      <c r="W50" s="18">
        <f>$C50*(1+$D50)^(W$4-2025)</f>
        <v>39022114.679631546</v>
      </c>
      <c r="X50" s="18">
        <f>$C50*(1+$D50)^(X$4-2025)</f>
        <v>41286562.804952122</v>
      </c>
    </row>
    <row r="51" spans="1:24">
      <c r="A51" s="22" t="str">
        <f>'Historical FY16-FY25'!A51</f>
        <v>James City County</v>
      </c>
      <c r="B51" s="22" t="str">
        <f>'Historical FY16-FY25'!B51</f>
        <v>County</v>
      </c>
      <c r="C51" s="23">
        <f>'Historical FY16-FY25'!H51</f>
        <v>29009707</v>
      </c>
      <c r="D51" s="10">
        <f>MIN(Assumptions!$B$27,MAX(Assumptions!$B$26,Assumptions!$B$24+Assumptions!$B$25*('Historical FY16-FY25'!J51-Assumptions!$B$20)))</f>
        <v>4.3704840219781715E-2</v>
      </c>
      <c r="E51" s="15">
        <f>$C51*(1+$D51)^(E$4-2025)</f>
        <v>30277571.609257683</v>
      </c>
      <c r="F51" s="15">
        <f>$C51*(1+$D51)^(F$4-2025)</f>
        <v>31600848.038683292</v>
      </c>
      <c r="G51" s="15">
        <f>$C51*(1+$D51)^(G$4-2025)</f>
        <v>32981958.053023551</v>
      </c>
      <c r="H51" s="15">
        <f>$C51*(1+$D51)^(H$4-2025)</f>
        <v>34423429.259866484</v>
      </c>
      <c r="I51" s="15">
        <f>$C51*(1+$D51)^(I$4-2025)</f>
        <v>35927899.735485911</v>
      </c>
      <c r="J51" s="15">
        <f>$C51*(1+$D51)^(J$4-2025)</f>
        <v>37498122.852857664</v>
      </c>
      <c r="K51" s="15">
        <f>$C51*(1+$D51)^(K$4-2025)</f>
        <v>39136972.320683554</v>
      </c>
      <c r="L51" s="15">
        <f>$C51*(1+$D51)^(L$4-2025)</f>
        <v>40847447.442645043</v>
      </c>
      <c r="M51" s="15">
        <f>$C51*(1+$D51)^(M$4-2025)</f>
        <v>42632678.606511779</v>
      </c>
      <c r="N51" s="15">
        <f>$C51*(1+$D51)^(N$4-2025)</f>
        <v>44495933.013150692</v>
      </c>
      <c r="O51" s="15">
        <f>$C51*(1+$D51)^(O$4-2025)</f>
        <v>46440620.65592055</v>
      </c>
      <c r="P51" s="15">
        <f>$C51*(1+$D51)^(P$4-2025)</f>
        <v>48470300.561395049</v>
      </c>
      <c r="Q51" s="15">
        <f>$C51*(1+$D51)^(Q$4-2025)</f>
        <v>50588687.302835613</v>
      </c>
      <c r="R51" s="15">
        <f>$C51*(1+$D51)^(R$4-2025)</f>
        <v>52799657.798334554</v>
      </c>
      <c r="S51" s="15">
        <f>$C51*(1+$D51)^(S$4-2025)</f>
        <v>55107258.406069919</v>
      </c>
      <c r="T51" s="15">
        <f>$C51*(1+$D51)^(T$4-2025)</f>
        <v>57515712.329657428</v>
      </c>
      <c r="U51" s="15">
        <f>$C51*(1+$D51)^(U$4-2025)</f>
        <v>60029427.347152039</v>
      </c>
      <c r="V51" s="15">
        <f>$C51*(1+$D51)^(V$4-2025)</f>
        <v>62653003.877844311</v>
      </c>
      <c r="W51" s="15">
        <f>$C51*(1+$D51)^(W$4-2025)</f>
        <v>65391243.401614867</v>
      </c>
      <c r="X51" s="15">
        <f>$C51*(1+$D51)^(X$4-2025)</f>
        <v>68249157.246255308</v>
      </c>
    </row>
    <row r="52" spans="1:24">
      <c r="A52" s="24" t="str">
        <f>'Historical FY16-FY25'!A52</f>
        <v>King George County</v>
      </c>
      <c r="B52" s="24" t="str">
        <f>'Historical FY16-FY25'!B52</f>
        <v>County</v>
      </c>
      <c r="C52" s="25">
        <f>'Historical FY16-FY25'!H52</f>
        <v>10690372</v>
      </c>
      <c r="D52" s="19">
        <f>MIN(Assumptions!$B$27,MAX(Assumptions!$B$26,Assumptions!$B$24+Assumptions!$B$25*('Historical FY16-FY25'!J52-Assumptions!$B$20)))</f>
        <v>5.546895574128019E-2</v>
      </c>
      <c r="E52" s="18">
        <f>$C52*(1+$D52)^(E$4-2025)</f>
        <v>11283355.771325821</v>
      </c>
      <c r="F52" s="18">
        <f>$C52*(1+$D52)^(F$4-2025)</f>
        <v>11909231.733218612</v>
      </c>
      <c r="G52" s="18">
        <f>$C52*(1+$D52)^(G$4-2025)</f>
        <v>12569824.381141165</v>
      </c>
      <c r="H52" s="18">
        <f>$C52*(1+$D52)^(H$4-2025)</f>
        <v>13267059.413414348</v>
      </c>
      <c r="I52" s="18">
        <f>$C52*(1+$D52)^(I$4-2025)</f>
        <v>14002969.344833964</v>
      </c>
      <c r="J52" s="18">
        <f>$C52*(1+$D52)^(J$4-2025)</f>
        <v>14779699.431669062</v>
      </c>
      <c r="K52" s="18">
        <f>$C52*(1+$D52)^(K$4-2025)</f>
        <v>15599513.925313739</v>
      </c>
      <c r="L52" s="18">
        <f>$C52*(1+$D52)^(L$4-2025)</f>
        <v>16464802.672822447</v>
      </c>
      <c r="M52" s="18">
        <f>$C52*(1+$D52)^(M$4-2025)</f>
        <v>17378088.083570149</v>
      </c>
      <c r="N52" s="18">
        <f>$C52*(1+$D52)^(N$4-2025)</f>
        <v>18342032.482345771</v>
      </c>
      <c r="O52" s="18">
        <f>$C52*(1+$D52)^(O$4-2025)</f>
        <v>19359445.870314132</v>
      </c>
      <c r="P52" s="18">
        <f>$C52*(1+$D52)^(P$4-2025)</f>
        <v>20433294.116470292</v>
      </c>
      <c r="Q52" s="18">
        <f>$C52*(1+$D52)^(Q$4-2025)</f>
        <v>21566707.603465348</v>
      </c>
      <c r="R52" s="18">
        <f>$C52*(1+$D52)^(R$4-2025)</f>
        <v>22762990.353007101</v>
      </c>
      <c r="S52" s="18">
        <f>$C52*(1+$D52)^(S$4-2025)</f>
        <v>24025629.657437239</v>
      </c>
      <c r="T52" s="18">
        <f>$C52*(1+$D52)^(T$4-2025)</f>
        <v>25358306.24556201</v>
      </c>
      <c r="U52" s="18">
        <f>$C52*(1+$D52)^(U$4-2025)</f>
        <v>26764905.012370918</v>
      </c>
      <c r="V52" s="18">
        <f>$C52*(1+$D52)^(V$4-2025)</f>
        <v>28249526.343921687</v>
      </c>
      <c r="W52" s="18">
        <f>$C52*(1+$D52)^(W$4-2025)</f>
        <v>29816498.070404813</v>
      </c>
      <c r="X52" s="18">
        <f>$C52*(1+$D52)^(X$4-2025)</f>
        <v>31470388.082232062</v>
      </c>
    </row>
    <row r="53" spans="1:24">
      <c r="A53" s="22" t="str">
        <f>'Historical FY16-FY25'!A53</f>
        <v>King William County</v>
      </c>
      <c r="B53" s="22" t="str">
        <f>'Historical FY16-FY25'!B53</f>
        <v>County</v>
      </c>
      <c r="C53" s="23">
        <f>'Historical FY16-FY25'!H53</f>
        <v>5790980</v>
      </c>
      <c r="D53" s="10">
        <f>MIN(Assumptions!$B$27,MAX(Assumptions!$B$26,Assumptions!$B$24+Assumptions!$B$25*('Historical FY16-FY25'!J53-Assumptions!$B$20)))</f>
        <v>4.978392878121829E-2</v>
      </c>
      <c r="E53" s="15">
        <f>$C53*(1+$D53)^(E$4-2025)</f>
        <v>6079277.7358934591</v>
      </c>
      <c r="F53" s="15">
        <f>$C53*(1+$D53)^(F$4-2025)</f>
        <v>6381928.0657384247</v>
      </c>
      <c r="G53" s="15">
        <f>$C53*(1+$D53)^(G$4-2025)</f>
        <v>6699645.5180500047</v>
      </c>
      <c r="H53" s="15">
        <f>$C53*(1+$D53)^(H$4-2025)</f>
        <v>7033180.193380014</v>
      </c>
      <c r="I53" s="15">
        <f>$C53*(1+$D53)^(I$4-2025)</f>
        <v>7383319.53523272</v>
      </c>
      <c r="J53" s="15">
        <f>$C53*(1+$D53)^(J$4-2025)</f>
        <v>7750890.1891437229</v>
      </c>
      <c r="K53" s="15">
        <f>$C53*(1+$D53)^(K$4-2025)</f>
        <v>8136759.954311097</v>
      </c>
      <c r="L53" s="15">
        <f>$C53*(1+$D53)^(L$4-2025)</f>
        <v>8541839.8323863894</v>
      </c>
      <c r="M53" s="15">
        <f>$C53*(1+$D53)^(M$4-2025)</f>
        <v>8967086.1782624871</v>
      </c>
      <c r="N53" s="15">
        <f>$C53*(1+$D53)^(N$4-2025)</f>
        <v>9413502.9579361528</v>
      </c>
      <c r="O53" s="15">
        <f>$C53*(1+$D53)^(O$4-2025)</f>
        <v>9882144.1187758334</v>
      </c>
      <c r="P53" s="15">
        <f>$C53*(1+$D53)^(P$4-2025)</f>
        <v>10374116.077790704</v>
      </c>
      <c r="Q53" s="15">
        <f>$C53*(1+$D53)^(Q$4-2025)</f>
        <v>10890580.33377553</v>
      </c>
      <c r="R53" s="15">
        <f>$C53*(1+$D53)^(R$4-2025)</f>
        <v>11432756.209498346</v>
      </c>
      <c r="S53" s="15">
        <f>$C53*(1+$D53)^(S$4-2025)</f>
        <v>12001923.73040504</v>
      </c>
      <c r="T53" s="15">
        <f>$C53*(1+$D53)^(T$4-2025)</f>
        <v>12599426.646637138</v>
      </c>
      <c r="U53" s="15">
        <f>$C53*(1+$D53)^(U$4-2025)</f>
        <v>13226675.605497506</v>
      </c>
      <c r="V53" s="15">
        <f>$C53*(1+$D53)^(V$4-2025)</f>
        <v>13885151.481853871</v>
      </c>
      <c r="W53" s="15">
        <f>$C53*(1+$D53)^(W$4-2025)</f>
        <v>14576408.874342911</v>
      </c>
      <c r="X53" s="15">
        <f>$C53*(1+$D53)^(X$4-2025)</f>
        <v>15302079.775629116</v>
      </c>
    </row>
    <row r="54" spans="1:24">
      <c r="A54" s="24" t="str">
        <f>'Historical FY16-FY25'!A54</f>
        <v>King and Queen County</v>
      </c>
      <c r="B54" s="24" t="str">
        <f>'Historical FY16-FY25'!B54</f>
        <v>County</v>
      </c>
      <c r="C54" s="25">
        <f>'Historical FY16-FY25'!H54</f>
        <v>1412484</v>
      </c>
      <c r="D54" s="19">
        <f>MIN(Assumptions!$B$27,MAX(Assumptions!$B$26,Assumptions!$B$24+Assumptions!$B$25*('Historical FY16-FY25'!J54-Assumptions!$B$20)))</f>
        <v>3.7699093398421923E-2</v>
      </c>
      <c r="E54" s="18">
        <f>$C54*(1+$D54)^(E$4-2025)</f>
        <v>1465733.3662397764</v>
      </c>
      <c r="F54" s="18">
        <f>$C54*(1+$D54)^(F$4-2025)</f>
        <v>1520990.1853108329</v>
      </c>
      <c r="G54" s="18">
        <f>$C54*(1+$D54)^(G$4-2025)</f>
        <v>1578330.1363649489</v>
      </c>
      <c r="H54" s="18">
        <f>$C54*(1+$D54)^(H$4-2025)</f>
        <v>1637831.751589315</v>
      </c>
      <c r="I54" s="18">
        <f>$C54*(1+$D54)^(I$4-2025)</f>
        <v>1699576.5237633812</v>
      </c>
      <c r="J54" s="18">
        <f>$C54*(1+$D54)^(J$4-2025)</f>
        <v>1763649.0178705021</v>
      </c>
      <c r="K54" s="18">
        <f>$C54*(1+$D54)^(K$4-2025)</f>
        <v>1830136.9869172371</v>
      </c>
      <c r="L54" s="18">
        <f>$C54*(1+$D54)^(L$4-2025)</f>
        <v>1899131.492118936</v>
      </c>
      <c r="M54" s="18">
        <f>$C54*(1+$D54)^(M$4-2025)</f>
        <v>1970727.0276162119</v>
      </c>
      <c r="N54" s="18">
        <f>$C54*(1+$D54)^(N$4-2025)</f>
        <v>2045021.6498931099</v>
      </c>
      <c r="O54" s="18">
        <f>$C54*(1+$D54)^(O$4-2025)</f>
        <v>2122117.1120742247</v>
      </c>
      <c r="P54" s="18">
        <f>$C54*(1+$D54)^(P$4-2025)</f>
        <v>2202119.0032847002</v>
      </c>
      <c r="Q54" s="18">
        <f>$C54*(1+$D54)^(Q$4-2025)</f>
        <v>2285136.8932639696</v>
      </c>
      <c r="R54" s="18">
        <f>$C54*(1+$D54)^(R$4-2025)</f>
        <v>2371284.4824313074</v>
      </c>
      <c r="S54" s="18">
        <f>$C54*(1+$D54)^(S$4-2025)</f>
        <v>2460679.7576087136</v>
      </c>
      <c r="T54" s="18">
        <f>$C54*(1+$D54)^(T$4-2025)</f>
        <v>2553445.1536144102</v>
      </c>
      <c r="U54" s="18">
        <f>$C54*(1+$D54)^(U$4-2025)</f>
        <v>2649707.7209482673</v>
      </c>
      <c r="V54" s="18">
        <f>$C54*(1+$D54)^(V$4-2025)</f>
        <v>2749599.2997988155</v>
      </c>
      <c r="W54" s="18">
        <f>$C54*(1+$D54)^(W$4-2025)</f>
        <v>2853256.7006101669</v>
      </c>
      <c r="X54" s="18">
        <f>$C54*(1+$D54)^(X$4-2025)</f>
        <v>2960821.8914561416</v>
      </c>
    </row>
    <row r="55" spans="1:24">
      <c r="A55" s="22" t="str">
        <f>'Historical FY16-FY25'!A55</f>
        <v>Lancaster County</v>
      </c>
      <c r="B55" s="22" t="str">
        <f>'Historical FY16-FY25'!B55</f>
        <v>County</v>
      </c>
      <c r="C55" s="23">
        <f>'Historical FY16-FY25'!H55</f>
        <v>4267646</v>
      </c>
      <c r="D55" s="10">
        <f>MIN(Assumptions!$B$27,MAX(Assumptions!$B$26,Assumptions!$B$24+Assumptions!$B$25*('Historical FY16-FY25'!J55-Assumptions!$B$20)))</f>
        <v>4.9772447723236191E-2</v>
      </c>
      <c r="E55" s="15">
        <f>$C55*(1+$D55)^(E$4-2025)</f>
        <v>4480057.187436278</v>
      </c>
      <c r="F55" s="15">
        <f>$C55*(1+$D55)^(F$4-2025)</f>
        <v>4703040.5995950587</v>
      </c>
      <c r="G55" s="15">
        <f>$C55*(1+$D55)^(G$4-2025)</f>
        <v>4937122.4419786613</v>
      </c>
      <c r="H55" s="15">
        <f>$C55*(1+$D55)^(H$4-2025)</f>
        <v>5182855.1106252605</v>
      </c>
      <c r="I55" s="15">
        <f>$C55*(1+$D55)^(I$4-2025)</f>
        <v>5440818.4956759633</v>
      </c>
      <c r="J55" s="15">
        <f>$C55*(1+$D55)^(J$4-2025)</f>
        <v>5711621.3498236127</v>
      </c>
      <c r="K55" s="15">
        <f>$C55*(1+$D55)^(K$4-2025)</f>
        <v>5995902.7248726273</v>
      </c>
      <c r="L55" s="15">
        <f>$C55*(1+$D55)^(L$4-2025)</f>
        <v>6294333.4797999589</v>
      </c>
      <c r="M55" s="15">
        <f>$C55*(1+$D55)^(M$4-2025)</f>
        <v>6607617.8638759181</v>
      </c>
      <c r="N55" s="15">
        <f>$C55*(1+$D55)^(N$4-2025)</f>
        <v>6936495.1785808038</v>
      </c>
      <c r="O55" s="15">
        <f>$C55*(1+$D55)^(O$4-2025)</f>
        <v>7281741.522239197</v>
      </c>
      <c r="P55" s="15">
        <f>$C55*(1+$D55)^(P$4-2025)</f>
        <v>7644171.6214889651</v>
      </c>
      <c r="Q55" s="15">
        <f>$C55*(1+$D55)^(Q$4-2025)</f>
        <v>8024640.7539069699</v>
      </c>
      <c r="R55" s="15">
        <f>$C55*(1+$D55)^(R$4-2025)</f>
        <v>8424046.7663285565</v>
      </c>
      <c r="S55" s="15">
        <f>$C55*(1+$D55)^(S$4-2025)</f>
        <v>8843332.1936237402</v>
      </c>
      <c r="T55" s="15">
        <f>$C55*(1+$D55)^(T$4-2025)</f>
        <v>9283486.4829300884</v>
      </c>
      <c r="U55" s="15">
        <f>$C55*(1+$D55)^(U$4-2025)</f>
        <v>9745548.3285910953</v>
      </c>
      <c r="V55" s="15">
        <f>$C55*(1+$D55)^(V$4-2025)</f>
        <v>10230608.123310169</v>
      </c>
      <c r="W55" s="15">
        <f>$C55*(1+$D55)^(W$4-2025)</f>
        <v>10739810.531304538</v>
      </c>
      <c r="X55" s="15">
        <f>$C55*(1+$D55)^(X$4-2025)</f>
        <v>11274357.189531354</v>
      </c>
    </row>
    <row r="56" spans="1:24">
      <c r="A56" s="24" t="str">
        <f>'Historical FY16-FY25'!A56</f>
        <v>Lee County</v>
      </c>
      <c r="B56" s="24" t="str">
        <f>'Historical FY16-FY25'!B56</f>
        <v>County</v>
      </c>
      <c r="C56" s="25">
        <f>'Historical FY16-FY25'!H56</f>
        <v>5764991</v>
      </c>
      <c r="D56" s="19">
        <f>MIN(Assumptions!$B$27,MAX(Assumptions!$B$26,Assumptions!$B$24+Assumptions!$B$25*('Historical FY16-FY25'!J56-Assumptions!$B$20)))</f>
        <v>3.7317800882506136E-2</v>
      </c>
      <c r="E56" s="18">
        <f>$C56*(1+$D56)^(E$4-2025)</f>
        <v>5980127.7862274395</v>
      </c>
      <c r="F56" s="18">
        <f>$C56*(1+$D56)^(F$4-2025)</f>
        <v>6203293.0042058183</v>
      </c>
      <c r="G56" s="18">
        <f>$C56*(1+$D56)^(G$4-2025)</f>
        <v>6434786.2573526148</v>
      </c>
      <c r="H56" s="18">
        <f>$C56*(1+$D56)^(H$4-2025)</f>
        <v>6674918.3296259865</v>
      </c>
      <c r="I56" s="18">
        <f>$C56*(1+$D56)^(I$4-2025)</f>
        <v>6924011.6027579587</v>
      </c>
      <c r="J56" s="18">
        <f>$C56*(1+$D56)^(J$4-2025)</f>
        <v>7182400.4890578436</v>
      </c>
      <c r="K56" s="18">
        <f>$C56*(1+$D56)^(K$4-2025)</f>
        <v>7450431.8803669186</v>
      </c>
      <c r="L56" s="18">
        <f>$C56*(1+$D56)^(L$4-2025)</f>
        <v>7728465.6137671284</v>
      </c>
      <c r="M56" s="18">
        <f>$C56*(1+$D56)^(M$4-2025)</f>
        <v>8016874.9546689857</v>
      </c>
      <c r="N56" s="18">
        <f>$C56*(1+$D56)^(N$4-2025)</f>
        <v>8316047.0979272723</v>
      </c>
      <c r="O56" s="18">
        <f>$C56*(1+$D56)^(O$4-2025)</f>
        <v>8626383.6876572669</v>
      </c>
      <c r="P56" s="18">
        <f>$C56*(1+$D56)^(P$4-2025)</f>
        <v>8948301.35644936</v>
      </c>
      <c r="Q56" s="18">
        <f>$C56*(1+$D56)^(Q$4-2025)</f>
        <v>9282232.2847059965</v>
      </c>
      <c r="R56" s="18">
        <f>$C56*(1+$D56)^(R$4-2025)</f>
        <v>9628624.7808518261</v>
      </c>
      <c r="S56" s="18">
        <f>$C56*(1+$D56)^(S$4-2025)</f>
        <v>9987943.8831960186</v>
      </c>
      <c r="T56" s="18">
        <f>$C56*(1+$D56)^(T$4-2025)</f>
        <v>10360671.984254774</v>
      </c>
      <c r="U56" s="18">
        <f>$C56*(1+$D56)^(U$4-2025)</f>
        <v>10747309.478372153</v>
      </c>
      <c r="V56" s="18">
        <f>$C56*(1+$D56)^(V$4-2025)</f>
        <v>11148375.433508715</v>
      </c>
      <c r="W56" s="18">
        <f>$C56*(1+$D56)^(W$4-2025)</f>
        <v>11564408.28809982</v>
      </c>
      <c r="X56" s="18">
        <f>$C56*(1+$D56)^(X$4-2025)</f>
        <v>11995966.57391913</v>
      </c>
    </row>
    <row r="57" spans="1:24">
      <c r="A57" s="22" t="str">
        <f>'Historical FY16-FY25'!A57</f>
        <v>Loudoun County</v>
      </c>
      <c r="B57" s="22" t="str">
        <f>'Historical FY16-FY25'!B57</f>
        <v>County</v>
      </c>
      <c r="C57" s="23">
        <f>'Historical FY16-FY25'!H57</f>
        <v>221047474</v>
      </c>
      <c r="D57" s="10">
        <f>MIN(Assumptions!$B$27,MAX(Assumptions!$B$26,Assumptions!$B$24+Assumptions!$B$25*('Historical FY16-FY25'!J57-Assumptions!$B$20)))</f>
        <v>4.6645312987473986E-2</v>
      </c>
      <c r="E57" s="15">
        <f>$C57*(1+$D57)^(E$4-2025)</f>
        <v>231358302.60982051</v>
      </c>
      <c r="F57" s="15">
        <f>$C57*(1+$D57)^(F$4-2025)</f>
        <v>242150083.04730633</v>
      </c>
      <c r="G57" s="15">
        <f>$C57*(1+$D57)^(G$4-2025)</f>
        <v>253445249.46099076</v>
      </c>
      <c r="H57" s="15">
        <f>$C57*(1+$D57)^(H$4-2025)</f>
        <v>265267282.44728708</v>
      </c>
      <c r="I57" s="15">
        <f>$C57*(1+$D57)^(I$4-2025)</f>
        <v>277640757.86237746</v>
      </c>
      <c r="J57" s="15">
        <f>$C57*(1+$D57)^(J$4-2025)</f>
        <v>290591397.9109475</v>
      </c>
      <c r="K57" s="15">
        <f>$C57*(1+$D57)^(K$4-2025)</f>
        <v>304146124.61797124</v>
      </c>
      <c r="L57" s="15">
        <f>$C57*(1+$D57)^(L$4-2025)</f>
        <v>318333115.79470378</v>
      </c>
      <c r="M57" s="15">
        <f>$C57*(1+$D57)^(M$4-2025)</f>
        <v>333181863.61522555</v>
      </c>
      <c r="N57" s="15">
        <f>$C57*(1+$D57)^(N$4-2025)</f>
        <v>348723235.92530763</v>
      </c>
      <c r="O57" s="15">
        <f>$C57*(1+$D57)^(O$4-2025)</f>
        <v>364989540.41104829</v>
      </c>
      <c r="P57" s="15">
        <f>$C57*(1+$D57)^(P$4-2025)</f>
        <v>382014591.76067597</v>
      </c>
      <c r="Q57" s="15">
        <f>$C57*(1+$D57)^(Q$4-2025)</f>
        <v>399833781.95913476</v>
      </c>
      <c r="R57" s="15">
        <f>$C57*(1+$D57)^(R$4-2025)</f>
        <v>418484153.86158407</v>
      </c>
      <c r="S57" s="15">
        <f>$C57*(1+$D57)^(S$4-2025)</f>
        <v>438004478.19875586</v>
      </c>
      <c r="T57" s="15">
        <f>$C57*(1+$D57)^(T$4-2025)</f>
        <v>458435334.17425203</v>
      </c>
      <c r="U57" s="15">
        <f>$C57*(1+$D57)^(U$4-2025)</f>
        <v>479819193.82132727</v>
      </c>
      <c r="V57" s="15">
        <f>$C57*(1+$D57)^(V$4-2025)</f>
        <v>502200510.29452056</v>
      </c>
      <c r="W57" s="15">
        <f>$C57*(1+$D57)^(W$4-2025)</f>
        <v>525625810.27967757</v>
      </c>
      <c r="X57" s="15">
        <f>$C57*(1+$D57)^(X$4-2025)</f>
        <v>550143790.71446776</v>
      </c>
    </row>
    <row r="58" spans="1:24">
      <c r="A58" s="24" t="str">
        <f>'Historical FY16-FY25'!A58</f>
        <v>Louisa County</v>
      </c>
      <c r="B58" s="24" t="str">
        <f>'Historical FY16-FY25'!B58</f>
        <v>County</v>
      </c>
      <c r="C58" s="25">
        <f>'Historical FY16-FY25'!H58</f>
        <v>14031464</v>
      </c>
      <c r="D58" s="19">
        <f>MIN(Assumptions!$B$27,MAX(Assumptions!$B$26,Assumptions!$B$24+Assumptions!$B$25*('Historical FY16-FY25'!J58-Assumptions!$B$20)))</f>
        <v>6.0100755005571771E-2</v>
      </c>
      <c r="E58" s="18">
        <f>$C58*(1+$D58)^(E$4-2025)</f>
        <v>14874765.580233499</v>
      </c>
      <c r="F58" s="18">
        <f>$C58*(1+$D58)^(F$4-2025)</f>
        <v>15768750.222136423</v>
      </c>
      <c r="G58" s="18">
        <f>$C58*(1+$D58)^(G$4-2025)</f>
        <v>16716464.015981099</v>
      </c>
      <c r="H58" s="18">
        <f>$C58*(1+$D58)^(H$4-2025)</f>
        <v>17721136.124365035</v>
      </c>
      <c r="I58" s="18">
        <f>$C58*(1+$D58)^(I$4-2025)</f>
        <v>18786189.784995884</v>
      </c>
      <c r="J58" s="18">
        <f>$C58*(1+$D58)^(J$4-2025)</f>
        <v>19915253.974752098</v>
      </c>
      <c r="K58" s="18">
        <f>$C58*(1+$D58)^(K$4-2025)</f>
        <v>21112175.774762407</v>
      </c>
      <c r="L58" s="18">
        <f>$C58*(1+$D58)^(L$4-2025)</f>
        <v>22381033.478635971</v>
      </c>
      <c r="M58" s="18">
        <f>$C58*(1+$D58)^(M$4-2025)</f>
        <v>23726150.488506969</v>
      </c>
      <c r="N58" s="18">
        <f>$C58*(1+$D58)^(N$4-2025)</f>
        <v>25152110.046242055</v>
      </c>
      <c r="O58" s="18">
        <f>$C58*(1+$D58)^(O$4-2025)</f>
        <v>26663770.850004423</v>
      </c>
      <c r="P58" s="18">
        <f>$C58*(1+$D58)^(P$4-2025)</f>
        <v>28266283.609385245</v>
      </c>
      <c r="Q58" s="18">
        <f>$C58*(1+$D58)^(Q$4-2025)</f>
        <v>29965108.595510915</v>
      </c>
      <c r="R58" s="18">
        <f>$C58*(1+$D58)^(R$4-2025)</f>
        <v>31766034.245925069</v>
      </c>
      <c r="S58" s="18">
        <f>$C58*(1+$D58)^(S$4-2025)</f>
        <v>33675196.88763801</v>
      </c>
      <c r="T58" s="18">
        <f>$C58*(1+$D58)^(T$4-2025)</f>
        <v>35699101.645546332</v>
      </c>
      <c r="U58" s="18">
        <f>$C58*(1+$D58)^(U$4-2025)</f>
        <v>37844644.607464314</v>
      </c>
      <c r="V58" s="18">
        <f>$C58*(1+$D58)^(V$4-2025)</f>
        <v>40119136.321290456</v>
      </c>
      <c r="W58" s="18">
        <f>$C58*(1+$D58)^(W$4-2025)</f>
        <v>42530326.704371467</v>
      </c>
      <c r="X58" s="18">
        <f>$C58*(1+$D58)^(X$4-2025)</f>
        <v>45086431.44993782</v>
      </c>
    </row>
    <row r="59" spans="1:24">
      <c r="A59" s="22" t="str">
        <f>'Historical FY16-FY25'!A59</f>
        <v>Lunenburg County</v>
      </c>
      <c r="B59" s="22" t="str">
        <f>'Historical FY16-FY25'!B59</f>
        <v>County</v>
      </c>
      <c r="C59" s="23">
        <f>'Historical FY16-FY25'!H59</f>
        <v>2932973</v>
      </c>
      <c r="D59" s="10">
        <f>MIN(Assumptions!$B$27,MAX(Assumptions!$B$26,Assumptions!$B$24+Assumptions!$B$25*('Historical FY16-FY25'!J59-Assumptions!$B$20)))</f>
        <v>4.7554507276566849E-2</v>
      </c>
      <c r="E59" s="15">
        <f>$C59*(1+$D59)^(E$4-2025)</f>
        <v>3072449.0858704741</v>
      </c>
      <c r="F59" s="15">
        <f>$C59*(1+$D59)^(F$4-2025)</f>
        <v>3218557.8882813826</v>
      </c>
      <c r="G59" s="15">
        <f>$C59*(1+$D59)^(G$4-2025)</f>
        <v>3371614.822799711</v>
      </c>
      <c r="H59" s="15">
        <f>$C59*(1+$D59)^(H$4-2025)</f>
        <v>3531950.3044243208</v>
      </c>
      <c r="I59" s="15">
        <f>$C59*(1+$D59)^(I$4-2025)</f>
        <v>3699910.4608765393</v>
      </c>
      <c r="J59" s="15">
        <f>$C59*(1+$D59)^(J$4-2025)</f>
        <v>3875857.8798109386</v>
      </c>
      <c r="K59" s="15">
        <f>$C59*(1+$D59)^(K$4-2025)</f>
        <v>4060172.3915593466</v>
      </c>
      <c r="L59" s="15">
        <f>$C59*(1+$D59)^(L$4-2025)</f>
        <v>4253251.8890978722</v>
      </c>
      <c r="M59" s="15">
        <f>$C59*(1+$D59)^(M$4-2025)</f>
        <v>4455513.1870070491</v>
      </c>
      <c r="N59" s="15">
        <f>$C59*(1+$D59)^(N$4-2025)</f>
        <v>4667392.9212794146</v>
      </c>
      <c r="O59" s="15">
        <f>$C59*(1+$D59)^(O$4-2025)</f>
        <v>4889348.4919169927</v>
      </c>
      <c r="P59" s="15">
        <f>$C59*(1+$D59)^(P$4-2025)</f>
        <v>5121859.0503535308</v>
      </c>
      <c r="Q59" s="15">
        <f>$C59*(1+$D59)^(Q$4-2025)</f>
        <v>5365426.5338331172</v>
      </c>
      <c r="R59" s="15">
        <f>$C59*(1+$D59)^(R$4-2025)</f>
        <v>5620576.7489781687</v>
      </c>
      <c r="S59" s="15">
        <f>$C59*(1+$D59)^(S$4-2025)</f>
        <v>5887860.5068859523</v>
      </c>
      <c r="T59" s="15">
        <f>$C59*(1+$D59)^(T$4-2025)</f>
        <v>6167854.8122040732</v>
      </c>
      <c r="U59" s="15">
        <f>$C59*(1+$D59)^(U$4-2025)</f>
        <v>6461164.10875184</v>
      </c>
      <c r="V59" s="15">
        <f>$C59*(1+$D59)^(V$4-2025)</f>
        <v>6768421.5843765717</v>
      </c>
      <c r="W59" s="15">
        <f>$C59*(1+$D59)^(W$4-2025)</f>
        <v>7090290.5378616778</v>
      </c>
      <c r="X59" s="15">
        <f>$C59*(1+$D59)^(X$4-2025)</f>
        <v>7427465.8108373955</v>
      </c>
    </row>
    <row r="60" spans="1:24">
      <c r="A60" s="24" t="str">
        <f>'Historical FY16-FY25'!A60</f>
        <v>Madison County</v>
      </c>
      <c r="B60" s="24" t="str">
        <f>'Historical FY16-FY25'!B60</f>
        <v>County</v>
      </c>
      <c r="C60" s="25">
        <f>'Historical FY16-FY25'!H60</f>
        <v>4156651</v>
      </c>
      <c r="D60" s="19">
        <f>MIN(Assumptions!$B$27,MAX(Assumptions!$B$26,Assumptions!$B$24+Assumptions!$B$25*('Historical FY16-FY25'!J60-Assumptions!$B$20)))</f>
        <v>4.7274025030684008E-2</v>
      </c>
      <c r="E60" s="18">
        <f>$C60*(1+$D60)^(E$4-2025)</f>
        <v>4353152.623417818</v>
      </c>
      <c r="F60" s="18">
        <f>$C60*(1+$D60)^(F$4-2025)</f>
        <v>4558943.669499659</v>
      </c>
      <c r="G60" s="18">
        <f>$C60*(1+$D60)^(G$4-2025)</f>
        <v>4774463.2866450641</v>
      </c>
      <c r="H60" s="18">
        <f>$C60*(1+$D60)^(H$4-2025)</f>
        <v>5000171.3835660052</v>
      </c>
      <c r="I60" s="18">
        <f>$C60*(1+$D60)^(I$4-2025)</f>
        <v>5236549.6107104141</v>
      </c>
      <c r="J60" s="18">
        <f>$C60*(1+$D60)^(J$4-2025)</f>
        <v>5484102.3880815562</v>
      </c>
      <c r="K60" s="18">
        <f>$C60*(1+$D60)^(K$4-2025)</f>
        <v>5743357.9816465583</v>
      </c>
      <c r="L60" s="18">
        <f>$C60*(1+$D60)^(L$4-2025)</f>
        <v>6014869.6306310967</v>
      </c>
      <c r="M60" s="18">
        <f>$C60*(1+$D60)^(M$4-2025)</f>
        <v>6299216.7281058514</v>
      </c>
      <c r="N60" s="18">
        <f>$C60*(1+$D60)^(N$4-2025)</f>
        <v>6597006.0573840309</v>
      </c>
      <c r="O60" s="18">
        <f>$C60*(1+$D60)^(O$4-2025)</f>
        <v>6908873.0868683765</v>
      </c>
      <c r="P60" s="18">
        <f>$C60*(1+$D60)^(P$4-2025)</f>
        <v>7235483.3261108119</v>
      </c>
      <c r="Q60" s="18">
        <f>$C60*(1+$D60)^(Q$4-2025)</f>
        <v>7577533.7459784718</v>
      </c>
      <c r="R60" s="18">
        <f>$C60*(1+$D60)^(R$4-2025)</f>
        <v>7935754.2659567101</v>
      </c>
      <c r="S60" s="18">
        <f>$C60*(1+$D60)^(S$4-2025)</f>
        <v>8310909.3117629047</v>
      </c>
      <c r="T60" s="18">
        <f>$C60*(1+$D60)^(T$4-2025)</f>
        <v>8703799.4465949293</v>
      </c>
      <c r="U60" s="18">
        <f>$C60*(1+$D60)^(U$4-2025)</f>
        <v>9115263.0794953126</v>
      </c>
      <c r="V60" s="18">
        <f>$C60*(1+$D60)^(V$4-2025)</f>
        <v>9546178.2544766422</v>
      </c>
      <c r="W60" s="18">
        <f>$C60*(1+$D60)^(W$4-2025)</f>
        <v>9997464.5242261421</v>
      </c>
      <c r="X60" s="18">
        <f>$C60*(1+$D60)^(X$4-2025)</f>
        <v>10470084.912387785</v>
      </c>
    </row>
    <row r="61" spans="1:24">
      <c r="A61" s="22" t="str">
        <f>'Historical FY16-FY25'!A61</f>
        <v>Mathews County</v>
      </c>
      <c r="B61" s="22" t="str">
        <f>'Historical FY16-FY25'!B61</f>
        <v>County</v>
      </c>
      <c r="C61" s="23">
        <f>'Historical FY16-FY25'!H61</f>
        <v>2057488</v>
      </c>
      <c r="D61" s="10">
        <f>MIN(Assumptions!$B$27,MAX(Assumptions!$B$26,Assumptions!$B$24+Assumptions!$B$25*('Historical FY16-FY25'!J61-Assumptions!$B$20)))</f>
        <v>4.2719835377666437E-2</v>
      </c>
      <c r="E61" s="15">
        <f>$C61*(1+$D61)^(E$4-2025)</f>
        <v>2145383.5486515244</v>
      </c>
      <c r="F61" s="15">
        <f>$C61*(1+$D61)^(F$4-2025)</f>
        <v>2237033.9806718715</v>
      </c>
      <c r="G61" s="15">
        <f>$C61*(1+$D61)^(G$4-2025)</f>
        <v>2332599.7040604204</v>
      </c>
      <c r="H61" s="15">
        <f>$C61*(1+$D61)^(H$4-2025)</f>
        <v>2432247.9794198745</v>
      </c>
      <c r="I61" s="15">
        <f>$C61*(1+$D61)^(I$4-2025)</f>
        <v>2536153.2126983539</v>
      </c>
      <c r="J61" s="15">
        <f>$C61*(1+$D61)^(J$4-2025)</f>
        <v>2644497.2604373675</v>
      </c>
      <c r="K61" s="15">
        <f>$C61*(1+$D61)^(K$4-2025)</f>
        <v>2757469.7480599424</v>
      </c>
      <c r="L61" s="15">
        <f>$C61*(1+$D61)^(L$4-2025)</f>
        <v>2875268.4017559583</v>
      </c>
      <c r="M61" s="15">
        <f>$C61*(1+$D61)^(M$4-2025)</f>
        <v>2998099.3945455789</v>
      </c>
      <c r="N61" s="15">
        <f>$C61*(1+$D61)^(N$4-2025)</f>
        <v>3126177.7071264479</v>
      </c>
      <c r="O61" s="15">
        <f>$C61*(1+$D61)^(O$4-2025)</f>
        <v>3259727.5041362215</v>
      </c>
      <c r="P61" s="15">
        <f>$C61*(1+$D61)^(P$4-2025)</f>
        <v>3398982.5264889719</v>
      </c>
      <c r="Q61" s="15">
        <f>$C61*(1+$D61)^(Q$4-2025)</f>
        <v>3544186.5004721461</v>
      </c>
      <c r="R61" s="15">
        <f>$C61*(1+$D61)^(R$4-2025)</f>
        <v>3695593.5643200641</v>
      </c>
      <c r="S61" s="15">
        <f>$C61*(1+$D61)^(S$4-2025)</f>
        <v>3853468.7130105817</v>
      </c>
      <c r="T61" s="15">
        <f>$C61*(1+$D61)^(T$4-2025)</f>
        <v>4018088.2620633813</v>
      </c>
      <c r="U61" s="15">
        <f>$C61*(1+$D61)^(U$4-2025)</f>
        <v>4189740.3311516629</v>
      </c>
      <c r="V61" s="15">
        <f>$C61*(1+$D61)^(V$4-2025)</f>
        <v>4368725.3483736319</v>
      </c>
      <c r="W61" s="15">
        <f>$C61*(1+$D61)^(W$4-2025)</f>
        <v>4555356.5760663934</v>
      </c>
      <c r="X61" s="15">
        <f>$C61*(1+$D61)^(X$4-2025)</f>
        <v>4749960.6590825198</v>
      </c>
    </row>
    <row r="62" spans="1:24">
      <c r="A62" s="24" t="str">
        <f>'Historical FY16-FY25'!A62</f>
        <v>Mecklenburg County</v>
      </c>
      <c r="B62" s="24" t="str">
        <f>'Historical FY16-FY25'!B62</f>
        <v>County</v>
      </c>
      <c r="C62" s="25">
        <f>'Historical FY16-FY25'!H62</f>
        <v>14988141</v>
      </c>
      <c r="D62" s="19">
        <f>MIN(Assumptions!$B$27,MAX(Assumptions!$B$26,Assumptions!$B$24+Assumptions!$B$25*('Historical FY16-FY25'!J62-Assumptions!$B$20)))</f>
        <v>5.5060525179775888E-2</v>
      </c>
      <c r="E62" s="18">
        <f>$C62*(1+$D62)^(E$4-2025)</f>
        <v>15813395.914928529</v>
      </c>
      <c r="F62" s="18">
        <f>$C62*(1+$D62)^(F$4-2025)</f>
        <v>16684089.798880216</v>
      </c>
      <c r="G62" s="18">
        <f>$C62*(1+$D62)^(G$4-2025)</f>
        <v>17602724.5453531</v>
      </c>
      <c r="H62" s="18">
        <f>$C62*(1+$D62)^(H$4-2025)</f>
        <v>18571939.803415176</v>
      </c>
      <c r="I62" s="18">
        <f>$C62*(1+$D62)^(I$4-2025)</f>
        <v>19594520.562598396</v>
      </c>
      <c r="J62" s="18">
        <f>$C62*(1+$D62)^(J$4-2025)</f>
        <v>20673405.155420981</v>
      </c>
      <c r="K62" s="18">
        <f>$C62*(1+$D62)^(K$4-2025)</f>
        <v>21811693.700532742</v>
      </c>
      <c r="L62" s="18">
        <f>$C62*(1+$D62)^(L$4-2025)</f>
        <v>23012657.010744486</v>
      </c>
      <c r="M62" s="18">
        <f>$C62*(1+$D62)^(M$4-2025)</f>
        <v>24279745.991538126</v>
      </c>
      <c r="N62" s="18">
        <f>$C62*(1+$D62)^(N$4-2025)</f>
        <v>25616601.557063773</v>
      </c>
      <c r="O62" s="18">
        <f>$C62*(1+$D62)^(O$4-2025)</f>
        <v>27027065.092116766</v>
      </c>
      <c r="P62" s="18">
        <f>$C62*(1+$D62)^(P$4-2025)</f>
        <v>28515189.490156703</v>
      </c>
      <c r="Q62" s="18">
        <f>$C62*(1+$D62)^(Q$4-2025)</f>
        <v>30085250.799085554</v>
      </c>
      <c r="R62" s="18">
        <f>$C62*(1+$D62)^(R$4-2025)</f>
        <v>31741760.508248478</v>
      </c>
      <c r="S62" s="18">
        <f>$C62*(1+$D62)^(S$4-2025)</f>
        <v>33489478.511963297</v>
      </c>
      <c r="T62" s="18">
        <f>$C62*(1+$D62)^(T$4-2025)</f>
        <v>35333426.786828823</v>
      </c>
      <c r="U62" s="18">
        <f>$C62*(1+$D62)^(U$4-2025)</f>
        <v>37278903.822112776</v>
      </c>
      <c r="V62" s="18">
        <f>$C62*(1+$D62)^(V$4-2025)</f>
        <v>39331499.84468466</v>
      </c>
      <c r="W62" s="18">
        <f>$C62*(1+$D62)^(W$4-2025)</f>
        <v>41497112.882241271</v>
      </c>
      <c r="X62" s="18">
        <f>$C62*(1+$D62)^(X$4-2025)</f>
        <v>43781965.710981913</v>
      </c>
    </row>
    <row r="63" spans="1:24">
      <c r="A63" s="22" t="str">
        <f>'Historical FY16-FY25'!A63</f>
        <v>Middlesex County</v>
      </c>
      <c r="B63" s="22" t="str">
        <f>'Historical FY16-FY25'!B63</f>
        <v>County</v>
      </c>
      <c r="C63" s="23">
        <f>'Historical FY16-FY25'!H63</f>
        <v>3117523</v>
      </c>
      <c r="D63" s="10">
        <f>MIN(Assumptions!$B$27,MAX(Assumptions!$B$26,Assumptions!$B$24+Assumptions!$B$25*('Historical FY16-FY25'!J63-Assumptions!$B$20)))</f>
        <v>4.1576758338750186E-2</v>
      </c>
      <c r="E63" s="15">
        <f>$C63*(1+$D63)^(E$4-2025)</f>
        <v>3247139.5003864951</v>
      </c>
      <c r="F63" s="15">
        <f>$C63*(1+$D63)^(F$4-2025)</f>
        <v>3382145.0346862744</v>
      </c>
      <c r="G63" s="15">
        <f>$C63*(1+$D63)^(G$4-2025)</f>
        <v>3522763.6614600294</v>
      </c>
      <c r="H63" s="15">
        <f>$C63*(1+$D63)^(H$4-2025)</f>
        <v>3669228.7548970836</v>
      </c>
      <c r="I63" s="15">
        <f>$C63*(1+$D63)^(I$4-2025)</f>
        <v>3821783.3921290324</v>
      </c>
      <c r="J63" s="15">
        <f>$C63*(1+$D63)^(J$4-2025)</f>
        <v>3980680.7566466299</v>
      </c>
      <c r="K63" s="15">
        <f>$C63*(1+$D63)^(K$4-2025)</f>
        <v>4146184.55848944</v>
      </c>
      <c r="L63" s="15">
        <f>$C63*(1+$D63)^(L$4-2025)</f>
        <v>4318569.4719056133</v>
      </c>
      <c r="M63" s="15">
        <f>$C63*(1+$D63)^(M$4-2025)</f>
        <v>4498121.5912081366</v>
      </c>
      <c r="N63" s="15">
        <f>$C63*(1+$D63)^(N$4-2025)</f>
        <v>4685138.9055841109</v>
      </c>
      <c r="O63" s="15">
        <f>$C63*(1+$D63)^(O$4-2025)</f>
        <v>4879931.7936450578</v>
      </c>
      <c r="P63" s="15">
        <f>$C63*(1+$D63)^(P$4-2025)</f>
        <v>5082823.5385390222</v>
      </c>
      <c r="Q63" s="15">
        <f>$C63*(1+$D63)^(Q$4-2025)</f>
        <v>5294150.8644793695</v>
      </c>
      <c r="R63" s="15">
        <f>$C63*(1+$D63)^(R$4-2025)</f>
        <v>5514264.4955807133</v>
      </c>
      <c r="S63" s="15">
        <f>$C63*(1+$D63)^(S$4-2025)</f>
        <v>5743529.7379294233</v>
      </c>
      <c r="T63" s="15">
        <f>$C63*(1+$D63)^(T$4-2025)</f>
        <v>5982327.085854739</v>
      </c>
      <c r="U63" s="15">
        <f>$C63*(1+$D63)^(U$4-2025)</f>
        <v>6231052.8534066807</v>
      </c>
      <c r="V63" s="15">
        <f>$C63*(1+$D63)^(V$4-2025)</f>
        <v>6490119.8320887499</v>
      </c>
      <c r="W63" s="15">
        <f>$C63*(1+$D63)^(W$4-2025)</f>
        <v>6759957.975937034</v>
      </c>
      <c r="X63" s="15">
        <f>$C63*(1+$D63)^(X$4-2025)</f>
        <v>7041015.1150826737</v>
      </c>
    </row>
    <row r="64" spans="1:24">
      <c r="A64" s="24" t="str">
        <f>'Historical FY16-FY25'!A64</f>
        <v>Montgomery County</v>
      </c>
      <c r="B64" s="24" t="str">
        <f>'Historical FY16-FY25'!B64</f>
        <v>County</v>
      </c>
      <c r="C64" s="25">
        <f>'Historical FY16-FY25'!H64</f>
        <v>31899520</v>
      </c>
      <c r="D64" s="19">
        <f>MIN(Assumptions!$B$27,MAX(Assumptions!$B$26,Assumptions!$B$24+Assumptions!$B$25*('Historical FY16-FY25'!J64-Assumptions!$B$20)))</f>
        <v>4.3672286555835438E-2</v>
      </c>
      <c r="E64" s="18">
        <f>$C64*(1+$D64)^(E$4-2025)</f>
        <v>33292644.978433605</v>
      </c>
      <c r="F64" s="18">
        <f>$C64*(1+$D64)^(F$4-2025)</f>
        <v>34746610.910133451</v>
      </c>
      <c r="G64" s="18">
        <f>$C64*(1+$D64)^(G$4-2025)</f>
        <v>36264074.858644918</v>
      </c>
      <c r="H64" s="18">
        <f>$C64*(1+$D64)^(H$4-2025)</f>
        <v>37847809.927553929</v>
      </c>
      <c r="I64" s="18">
        <f>$C64*(1+$D64)^(I$4-2025)</f>
        <v>39500710.328220859</v>
      </c>
      <c r="J64" s="18">
        <f>$C64*(1+$D64)^(J$4-2025)</f>
        <v>41225796.668833964</v>
      </c>
      <c r="K64" s="18">
        <f>$C64*(1+$D64)^(K$4-2025)</f>
        <v>43026221.474447891</v>
      </c>
      <c r="L64" s="18">
        <f>$C64*(1+$D64)^(L$4-2025)</f>
        <v>44905274.948094815</v>
      </c>
      <c r="M64" s="18">
        <f>$C64*(1+$D64)^(M$4-2025)</f>
        <v>46866390.983496599</v>
      </c>
      <c r="N64" s="18">
        <f>$C64*(1+$D64)^(N$4-2025)</f>
        <v>48913153.44036568</v>
      </c>
      <c r="O64" s="18">
        <f>$C64*(1+$D64)^(O$4-2025)</f>
        <v>51049302.693762876</v>
      </c>
      <c r="P64" s="18">
        <f>$C64*(1+$D64)^(P$4-2025)</f>
        <v>53278742.46948047</v>
      </c>
      <c r="Q64" s="18">
        <f>$C64*(1+$D64)^(Q$4-2025)</f>
        <v>55605546.977942184</v>
      </c>
      <c r="R64" s="18">
        <f>$C64*(1+$D64)^(R$4-2025)</f>
        <v>58033968.359656841</v>
      </c>
      <c r="S64" s="18">
        <f>$C64*(1+$D64)^(S$4-2025)</f>
        <v>60568444.455832072</v>
      </c>
      <c r="T64" s="18">
        <f>$C64*(1+$D64)^(T$4-2025)</f>
        <v>63213606.918348365</v>
      </c>
      <c r="U64" s="18">
        <f>$C64*(1+$D64)^(U$4-2025)</f>
        <v>65974289.67391441</v>
      </c>
      <c r="V64" s="18">
        <f>$C64*(1+$D64)^(V$4-2025)</f>
        <v>68855537.7578713</v>
      </c>
      <c r="W64" s="18">
        <f>$C64*(1+$D64)^(W$4-2025)</f>
        <v>71862616.533789203</v>
      </c>
      <c r="X64" s="18">
        <f>$C64*(1+$D64)^(X$4-2025)</f>
        <v>75001021.315704957</v>
      </c>
    </row>
    <row r="65" spans="1:24">
      <c r="A65" s="22" t="str">
        <f>'Historical FY16-FY25'!A65</f>
        <v>Nelson County</v>
      </c>
      <c r="B65" s="22" t="str">
        <f>'Historical FY16-FY25'!B65</f>
        <v>County</v>
      </c>
      <c r="C65" s="23">
        <f>'Historical FY16-FY25'!H65</f>
        <v>4342989</v>
      </c>
      <c r="D65" s="10">
        <f>MIN(Assumptions!$B$27,MAX(Assumptions!$B$26,Assumptions!$B$24+Assumptions!$B$25*('Historical FY16-FY25'!J65-Assumptions!$B$20)))</f>
        <v>4.298287367393705E-2</v>
      </c>
      <c r="E65" s="15">
        <f>$C65*(1+$D65)^(E$4-2025)</f>
        <v>4529663.1475542979</v>
      </c>
      <c r="F65" s="15">
        <f>$C65*(1+$D65)^(F$4-2025)</f>
        <v>4724361.086411112</v>
      </c>
      <c r="G65" s="15">
        <f>$C65*(1+$D65)^(G$4-2025)</f>
        <v>4927427.7021783851</v>
      </c>
      <c r="H65" s="15">
        <f>$C65*(1+$D65)^(H$4-2025)</f>
        <v>5139222.7046385761</v>
      </c>
      <c r="I65" s="15">
        <f>$C65*(1+$D65)^(I$4-2025)</f>
        <v>5360121.2649342846</v>
      </c>
      <c r="J65" s="15">
        <f>$C65*(1+$D65)^(J$4-2025)</f>
        <v>5590514.6801419389</v>
      </c>
      <c r="K65" s="15">
        <f>$C65*(1+$D65)^(K$4-2025)</f>
        <v>5830811.0664107697</v>
      </c>
      <c r="L65" s="15">
        <f>$C65*(1+$D65)^(L$4-2025)</f>
        <v>6081436.0818948969</v>
      </c>
      <c r="M65" s="15">
        <f>$C65*(1+$D65)^(M$4-2025)</f>
        <v>6342833.6807591077</v>
      </c>
      <c r="N65" s="15">
        <f>$C65*(1+$D65)^(N$4-2025)</f>
        <v>6615466.8995939698</v>
      </c>
      <c r="O65" s="15">
        <f>$C65*(1+$D65)^(O$4-2025)</f>
        <v>6899818.6776333284</v>
      </c>
      <c r="P65" s="15">
        <f>$C65*(1+$D65)^(P$4-2025)</f>
        <v>7196392.7122271126</v>
      </c>
      <c r="Q65" s="15">
        <f>$C65*(1+$D65)^(Q$4-2025)</f>
        <v>7505714.3510848116</v>
      </c>
      <c r="R65" s="15">
        <f>$C65*(1+$D65)^(R$4-2025)</f>
        <v>7828331.5228701467</v>
      </c>
      <c r="S65" s="15">
        <f>$C65*(1+$D65)^(S$4-2025)</f>
        <v>8164815.7077953732</v>
      </c>
      <c r="T65" s="15">
        <f>$C65*(1+$D65)^(T$4-2025)</f>
        <v>8515762.9499345161</v>
      </c>
      <c r="U65" s="15">
        <f>$C65*(1+$D65)^(U$4-2025)</f>
        <v>8881794.9130487461</v>
      </c>
      <c r="V65" s="15">
        <f>$C65*(1+$D65)^(V$4-2025)</f>
        <v>9263559.9817941356</v>
      </c>
      <c r="W65" s="15">
        <f>$C65*(1+$D65)^(W$4-2025)</f>
        <v>9661734.4102625325</v>
      </c>
      <c r="X65" s="15">
        <f>$C65*(1+$D65)^(X$4-2025)</f>
        <v>10077023.519889975</v>
      </c>
    </row>
    <row r="66" spans="1:24">
      <c r="A66" s="24" t="str">
        <f>'Historical FY16-FY25'!A66</f>
        <v>New Kent County</v>
      </c>
      <c r="B66" s="24" t="str">
        <f>'Historical FY16-FY25'!B66</f>
        <v>County</v>
      </c>
      <c r="C66" s="25">
        <f>'Historical FY16-FY25'!H66</f>
        <v>7969365</v>
      </c>
      <c r="D66" s="19">
        <f>MIN(Assumptions!$B$27,MAX(Assumptions!$B$26,Assumptions!$B$24+Assumptions!$B$25*('Historical FY16-FY25'!J66-Assumptions!$B$20)))</f>
        <v>5.9250252097059364E-2</v>
      </c>
      <c r="E66" s="18">
        <f>$C66*(1+$D66)^(E$4-2025)</f>
        <v>8441551.8853034806</v>
      </c>
      <c r="F66" s="18">
        <f>$C66*(1+$D66)^(F$4-2025)</f>
        <v>8941715.9625981171</v>
      </c>
      <c r="G66" s="18">
        <f>$C66*(1+$D66)^(G$4-2025)</f>
        <v>9471514.887562355</v>
      </c>
      <c r="H66" s="18">
        <f>$C66*(1+$D66)^(H$4-2025)</f>
        <v>10032704.532391472</v>
      </c>
      <c r="I66" s="18">
        <f>$C66*(1+$D66)^(I$4-2025)</f>
        <v>10627144.805150976</v>
      </c>
      <c r="J66" s="18">
        <f>$C66*(1+$D66)^(J$4-2025)</f>
        <v>11256805.813928125</v>
      </c>
      <c r="K66" s="18">
        <f>$C66*(1+$D66)^(K$4-2025)</f>
        <v>11923774.396211008</v>
      </c>
      <c r="L66" s="18">
        <f>$C66*(1+$D66)^(L$4-2025)</f>
        <v>12630261.035134967</v>
      </c>
      <c r="M66" s="18">
        <f>$C66*(1+$D66)^(M$4-2025)</f>
        <v>13378607.18551838</v>
      </c>
      <c r="N66" s="18">
        <f>$C66*(1+$D66)^(N$4-2025)</f>
        <v>14171293.033967871</v>
      </c>
      <c r="O66" s="18">
        <f>$C66*(1+$D66)^(O$4-2025)</f>
        <v>15010945.718771769</v>
      </c>
      <c r="P66" s="18">
        <f>$C66*(1+$D66)^(P$4-2025)</f>
        <v>15900348.036824264</v>
      </c>
      <c r="Q66" s="18">
        <f>$C66*(1+$D66)^(Q$4-2025)</f>
        <v>16842447.666437082</v>
      </c>
      <c r="R66" s="18">
        <f>$C66*(1+$D66)^(R$4-2025)</f>
        <v>17840366.936605006</v>
      </c>
      <c r="S66" s="18">
        <f>$C66*(1+$D66)^(S$4-2025)</f>
        <v>18897413.175102893</v>
      </c>
      <c r="T66" s="18">
        <f>$C66*(1+$D66)^(T$4-2025)</f>
        <v>20017089.669710029</v>
      </c>
      <c r="U66" s="18">
        <f>$C66*(1+$D66)^(U$4-2025)</f>
        <v>21203107.27888979</v>
      </c>
      <c r="V66" s="18">
        <f>$C66*(1+$D66)^(V$4-2025)</f>
        <v>22459396.730404995</v>
      </c>
      <c r="W66" s="18">
        <f>$C66*(1+$D66)^(W$4-2025)</f>
        <v>23790121.648629364</v>
      </c>
      <c r="X66" s="18">
        <f>$C66*(1+$D66)^(X$4-2025)</f>
        <v>25199692.353730354</v>
      </c>
    </row>
    <row r="67" spans="1:24">
      <c r="A67" s="22" t="str">
        <f>'Historical FY16-FY25'!A67</f>
        <v>Northampton County</v>
      </c>
      <c r="B67" s="22" t="str">
        <f>'Historical FY16-FY25'!B67</f>
        <v>County</v>
      </c>
      <c r="C67" s="23">
        <f>'Historical FY16-FY25'!H67</f>
        <v>4275131</v>
      </c>
      <c r="D67" s="10">
        <f>MIN(Assumptions!$B$27,MAX(Assumptions!$B$26,Assumptions!$B$24+Assumptions!$B$25*('Historical FY16-FY25'!J67-Assumptions!$B$20)))</f>
        <v>4.5500926436600198E-2</v>
      </c>
      <c r="E67" s="15">
        <f>$C67*(1+$D67)^(E$4-2025)</f>
        <v>4469653.4211378293</v>
      </c>
      <c r="F67" s="15">
        <f>$C67*(1+$D67)^(F$4-2025)</f>
        <v>4673026.7926501194</v>
      </c>
      <c r="G67" s="15">
        <f>$C67*(1+$D67)^(G$4-2025)</f>
        <v>4885653.8409787547</v>
      </c>
      <c r="H67" s="15">
        <f>$C67*(1+$D67)^(H$4-2025)</f>
        <v>5107955.6169918217</v>
      </c>
      <c r="I67" s="15">
        <f>$C67*(1+$D67)^(I$4-2025)</f>
        <v>5340372.3297619857</v>
      </c>
      <c r="J67" s="15">
        <f>$C67*(1+$D67)^(J$4-2025)</f>
        <v>5583364.2182825403</v>
      </c>
      <c r="K67" s="15">
        <f>$C67*(1+$D67)^(K$4-2025)</f>
        <v>5837412.4628473604</v>
      </c>
      <c r="L67" s="15">
        <f>$C67*(1+$D67)^(L$4-2025)</f>
        <v>6103020.1378994705</v>
      </c>
      <c r="M67" s="15">
        <f>$C67*(1+$D67)^(M$4-2025)</f>
        <v>6380713.2082351232</v>
      </c>
      <c r="N67" s="15">
        <f>$C67*(1+$D67)^(N$4-2025)</f>
        <v>6671041.5705360733</v>
      </c>
      <c r="O67" s="15">
        <f>$C67*(1+$D67)^(O$4-2025)</f>
        <v>6974580.1422925368</v>
      </c>
      <c r="P67" s="15">
        <f>$C67*(1+$D67)^(P$4-2025)</f>
        <v>7291930.0002731616</v>
      </c>
      <c r="Q67" s="15">
        <f>$C67*(1+$D67)^(Q$4-2025)</f>
        <v>7623719.5707964292</v>
      </c>
      <c r="R67" s="15">
        <f>$C67*(1+$D67)^(R$4-2025)</f>
        <v>7970605.8741605068</v>
      </c>
      <c r="S67" s="15">
        <f>$C67*(1+$D67)^(S$4-2025)</f>
        <v>8333275.8256958174</v>
      </c>
      <c r="T67" s="15">
        <f>$C67*(1+$D67)^(T$4-2025)</f>
        <v>8712447.5960167013</v>
      </c>
      <c r="U67" s="15">
        <f>$C67*(1+$D67)^(U$4-2025)</f>
        <v>9108872.033165792</v>
      </c>
      <c r="V67" s="15">
        <f>$C67*(1+$D67)^(V$4-2025)</f>
        <v>9523334.1494672727</v>
      </c>
      <c r="W67" s="15">
        <f>$C67*(1+$D67)^(W$4-2025)</f>
        <v>9956654.6760333441</v>
      </c>
      <c r="X67" s="15">
        <f>$C67*(1+$D67)^(X$4-2025)</f>
        <v>10409691.688002169</v>
      </c>
    </row>
    <row r="68" spans="1:24">
      <c r="A68" s="24" t="str">
        <f>'Historical FY16-FY25'!A68</f>
        <v>Northumberland County</v>
      </c>
      <c r="B68" s="24" t="str">
        <f>'Historical FY16-FY25'!B68</f>
        <v>County</v>
      </c>
      <c r="C68" s="25">
        <f>'Historical FY16-FY25'!H68</f>
        <v>2817961</v>
      </c>
      <c r="D68" s="19">
        <f>MIN(Assumptions!$B$27,MAX(Assumptions!$B$26,Assumptions!$B$24+Assumptions!$B$25*('Historical FY16-FY25'!J68-Assumptions!$B$20)))</f>
        <v>4.6897550360759266E-2</v>
      </c>
      <c r="E68" s="18">
        <f>$C68*(1+$D68)^(E$4-2025)</f>
        <v>2950116.4679121552</v>
      </c>
      <c r="F68" s="18">
        <f>$C68*(1+$D68)^(F$4-2025)</f>
        <v>3088469.7035361705</v>
      </c>
      <c r="G68" s="18">
        <f>$C68*(1+$D68)^(G$4-2025)</f>
        <v>3233311.3669954371</v>
      </c>
      <c r="H68" s="18">
        <f>$C68*(1+$D68)^(H$4-2025)</f>
        <v>3384945.7496611206</v>
      </c>
      <c r="I68" s="18">
        <f>$C68*(1+$D68)^(I$4-2025)</f>
        <v>3543691.4134242907</v>
      </c>
      <c r="J68" s="18">
        <f>$C68*(1+$D68)^(J$4-2025)</f>
        <v>3709881.8599483459</v>
      </c>
      <c r="K68" s="18">
        <f>$C68*(1+$D68)^(K$4-2025)</f>
        <v>3883866.2313077403</v>
      </c>
      <c r="L68" s="18">
        <f>$C68*(1+$D68)^(L$4-2025)</f>
        <v>4066010.0434849472</v>
      </c>
      <c r="M68" s="18">
        <f>$C68*(1+$D68)^(M$4-2025)</f>
        <v>4256695.9542666348</v>
      </c>
      <c r="N68" s="18">
        <f>$C68*(1+$D68)^(N$4-2025)</f>
        <v>4456324.5671522943</v>
      </c>
      <c r="O68" s="18">
        <f>$C68*(1+$D68)^(O$4-2025)</f>
        <v>4665315.2729642075</v>
      </c>
      <c r="P68" s="18">
        <f>$C68*(1+$D68)^(P$4-2025)</f>
        <v>4884107.1309268652</v>
      </c>
      <c r="Q68" s="18">
        <f>$C68*(1+$D68)^(Q$4-2025)</f>
        <v>5113159.7910668505</v>
      </c>
      <c r="R68" s="18">
        <f>$C68*(1+$D68)^(R$4-2025)</f>
        <v>5352954.4598710174</v>
      </c>
      <c r="S68" s="18">
        <f>$C68*(1+$D68)^(S$4-2025)</f>
        <v>5603994.9112316677</v>
      </c>
      <c r="T68" s="18">
        <f>$C68*(1+$D68)^(T$4-2025)</f>
        <v>5866808.544802594</v>
      </c>
      <c r="U68" s="18">
        <f>$C68*(1+$D68)^(U$4-2025)</f>
        <v>6141947.4939894052</v>
      </c>
      <c r="V68" s="18">
        <f>$C68*(1+$D68)^(V$4-2025)</f>
        <v>6429989.7859019125</v>
      </c>
      <c r="W68" s="18">
        <f>$C68*(1+$D68)^(W$4-2025)</f>
        <v>6731540.5557054151</v>
      </c>
      <c r="X68" s="18">
        <f>$C68*(1+$D68)^(X$4-2025)</f>
        <v>7047233.3179221023</v>
      </c>
    </row>
    <row r="69" spans="1:24">
      <c r="A69" s="22" t="str">
        <f>'Historical FY16-FY25'!A69</f>
        <v>Nottoway County</v>
      </c>
      <c r="B69" s="22" t="str">
        <f>'Historical FY16-FY25'!B69</f>
        <v>County</v>
      </c>
      <c r="C69" s="23">
        <f>'Historical FY16-FY25'!H69</f>
        <v>4729075</v>
      </c>
      <c r="D69" s="10">
        <f>MIN(Assumptions!$B$27,MAX(Assumptions!$B$26,Assumptions!$B$24+Assumptions!$B$25*('Historical FY16-FY25'!J69-Assumptions!$B$20)))</f>
        <v>3.6703900327805128E-2</v>
      </c>
      <c r="E69" s="15">
        <f>$C69*(1+$D69)^(E$4-2025)</f>
        <v>4902650.4974427149</v>
      </c>
      <c r="F69" s="15">
        <f>$C69*(1+$D69)^(F$4-2025)</f>
        <v>5082596.8926429162</v>
      </c>
      <c r="G69" s="15">
        <f>$C69*(1+$D69)^(G$4-2025)</f>
        <v>5269148.0223968942</v>
      </c>
      <c r="H69" s="15">
        <f>$C69*(1+$D69)^(H$4-2025)</f>
        <v>5462546.3062234009</v>
      </c>
      <c r="I69" s="15">
        <f>$C69*(1+$D69)^(I$4-2025)</f>
        <v>5663043.0613830453</v>
      </c>
      <c r="J69" s="15">
        <f>$C69*(1+$D69)^(J$4-2025)</f>
        <v>5870898.8294601161</v>
      </c>
      <c r="K69" s="15">
        <f>$C69*(1+$D69)^(K$4-2025)</f>
        <v>6086383.7149312478</v>
      </c>
      <c r="L69" s="15">
        <f>$C69*(1+$D69)^(L$4-2025)</f>
        <v>6309777.7361608604</v>
      </c>
      <c r="M69" s="15">
        <f>$C69*(1+$D69)^(M$4-2025)</f>
        <v>6541371.1892795125</v>
      </c>
      <c r="N69" s="15">
        <f>$C69*(1+$D69)^(N$4-2025)</f>
        <v>6781465.0254180031</v>
      </c>
      <c r="O69" s="15">
        <f>$C69*(1+$D69)^(O$4-2025)</f>
        <v>7030371.241787442</v>
      </c>
      <c r="P69" s="15">
        <f>$C69*(1+$D69)^(P$4-2025)</f>
        <v>7288413.2871134756</v>
      </c>
      <c r="Q69" s="15">
        <f>$C69*(1+$D69)^(Q$4-2025)</f>
        <v>7555926.4819515394</v>
      </c>
      <c r="R69" s="15">
        <f>$C69*(1+$D69)^(R$4-2025)</f>
        <v>7833258.4544293117</v>
      </c>
      <c r="S69" s="15">
        <f>$C69*(1+$D69)^(S$4-2025)</f>
        <v>8120769.5919826208</v>
      </c>
      <c r="T69" s="15">
        <f>$C69*(1+$D69)^(T$4-2025)</f>
        <v>8418833.5096718222</v>
      </c>
      <c r="U69" s="15">
        <f>$C69*(1+$D69)^(U$4-2025)</f>
        <v>8727837.5356872026</v>
      </c>
      <c r="V69" s="15">
        <f>$C69*(1+$D69)^(V$4-2025)</f>
        <v>9048183.2146743406</v>
      </c>
      <c r="W69" s="15">
        <f>$C69*(1+$D69)^(W$4-2025)</f>
        <v>9380286.8295334671</v>
      </c>
      <c r="X69" s="15">
        <f>$C69*(1+$D69)^(X$4-2025)</f>
        <v>9724579.9423708878</v>
      </c>
    </row>
    <row r="70" spans="1:24">
      <c r="A70" s="24" t="str">
        <f>'Historical FY16-FY25'!A70</f>
        <v>Orange County</v>
      </c>
      <c r="B70" s="24" t="str">
        <f>'Historical FY16-FY25'!B70</f>
        <v>County</v>
      </c>
      <c r="C70" s="25">
        <f>'Historical FY16-FY25'!H70</f>
        <v>12470148</v>
      </c>
      <c r="D70" s="19">
        <f>MIN(Assumptions!$B$27,MAX(Assumptions!$B$26,Assumptions!$B$24+Assumptions!$B$25*('Historical FY16-FY25'!J70-Assumptions!$B$20)))</f>
        <v>5.0521039683328772E-2</v>
      </c>
      <c r="E70" s="18">
        <f>$C70*(1+$D70)^(E$4-2025)</f>
        <v>13100152.841964984</v>
      </c>
      <c r="F70" s="18">
        <f>$C70*(1+$D70)^(F$4-2025)</f>
        <v>13761986.18355157</v>
      </c>
      <c r="G70" s="18">
        <f>$C70*(1+$D70)^(G$4-2025)</f>
        <v>14457256.033652203</v>
      </c>
      <c r="H70" s="18">
        <f>$C70*(1+$D70)^(H$4-2025)</f>
        <v>15187651.639440391</v>
      </c>
      <c r="I70" s="18">
        <f>$C70*(1+$D70)^(I$4-2025)</f>
        <v>15954947.590613134</v>
      </c>
      <c r="J70" s="18">
        <f>$C70*(1+$D70)^(J$4-2025)</f>
        <v>16761008.130983932</v>
      </c>
      <c r="K70" s="18">
        <f>$C70*(1+$D70)^(K$4-2025)</f>
        <v>17607791.687901966</v>
      </c>
      <c r="L70" s="18">
        <f>$C70*(1+$D70)^(L$4-2025)</f>
        <v>18497355.63050225</v>
      </c>
      <c r="M70" s="18">
        <f>$C70*(1+$D70)^(M$4-2025)</f>
        <v>19431861.268347498</v>
      </c>
      <c r="N70" s="18">
        <f>$C70*(1+$D70)^(N$4-2025)</f>
        <v>20413579.102606624</v>
      </c>
      <c r="O70" s="18">
        <f>$C70*(1+$D70)^(O$4-2025)</f>
        <v>21444894.342528187</v>
      </c>
      <c r="P70" s="18">
        <f>$C70*(1+$D70)^(P$4-2025)</f>
        <v>22528312.700611848</v>
      </c>
      <c r="Q70" s="18">
        <f>$C70*(1+$D70)^(Q$4-2025)</f>
        <v>23666466.480557904</v>
      </c>
      <c r="R70" s="18">
        <f>$C70*(1+$D70)^(R$4-2025)</f>
        <v>24862120.972786341</v>
      </c>
      <c r="S70" s="18">
        <f>$C70*(1+$D70)^(S$4-2025)</f>
        <v>26118181.173064198</v>
      </c>
      <c r="T70" s="18">
        <f>$C70*(1+$D70)^(T$4-2025)</f>
        <v>27437698.840564948</v>
      </c>
      <c r="U70" s="18">
        <f>$C70*(1+$D70)^(U$4-2025)</f>
        <v>28823879.912508354</v>
      </c>
      <c r="V70" s="18">
        <f>$C70*(1+$D70)^(V$4-2025)</f>
        <v>30280092.293395694</v>
      </c>
      <c r="W70" s="18">
        <f>$C70*(1+$D70)^(W$4-2025)</f>
        <v>31809874.037765194</v>
      </c>
      <c r="X70" s="18">
        <f>$C70*(1+$D70)^(X$4-2025)</f>
        <v>33416941.946348824</v>
      </c>
    </row>
    <row r="71" spans="1:24">
      <c r="A71" s="22" t="str">
        <f>'Historical FY16-FY25'!A71</f>
        <v>Page County</v>
      </c>
      <c r="B71" s="22" t="str">
        <f>'Historical FY16-FY25'!B71</f>
        <v>County</v>
      </c>
      <c r="C71" s="23">
        <f>'Historical FY16-FY25'!H71</f>
        <v>7337257</v>
      </c>
      <c r="D71" s="10">
        <f>MIN(Assumptions!$B$27,MAX(Assumptions!$B$26,Assumptions!$B$24+Assumptions!$B$25*('Historical FY16-FY25'!J71-Assumptions!$B$20)))</f>
        <v>4.4604937544181489E-2</v>
      </c>
      <c r="E71" s="15">
        <f>$C71*(1+$D71)^(E$4-2025)</f>
        <v>7664534.8902306082</v>
      </c>
      <c r="F71" s="15">
        <f>$C71*(1+$D71)^(F$4-2025)</f>
        <v>8006410.9903145451</v>
      </c>
      <c r="G71" s="15">
        <f>$C71*(1+$D71)^(G$4-2025)</f>
        <v>8363536.4524905737</v>
      </c>
      <c r="H71" s="15">
        <f>$C71*(1+$D71)^(H$4-2025)</f>
        <v>8736591.4736024011</v>
      </c>
      <c r="I71" s="15">
        <f>$C71*(1+$D71)^(I$4-2025)</f>
        <v>9126286.5906314645</v>
      </c>
      <c r="J71" s="15">
        <f>$C71*(1+$D71)^(J$4-2025)</f>
        <v>9533364.034016883</v>
      </c>
      <c r="K71" s="15">
        <f>$C71*(1+$D71)^(K$4-2025)</f>
        <v>9958599.1413401533</v>
      </c>
      <c r="L71" s="15">
        <f>$C71*(1+$D71)^(L$4-2025)</f>
        <v>10402801.83406717</v>
      </c>
      <c r="M71" s="15">
        <f>$C71*(1+$D71)^(M$4-2025)</f>
        <v>10866818.16016023</v>
      </c>
      <c r="N71" s="15">
        <f>$C71*(1+$D71)^(N$4-2025)</f>
        <v>11351531.905498158</v>
      </c>
      <c r="O71" s="15">
        <f>$C71*(1+$D71)^(O$4-2025)</f>
        <v>11857866.277173685</v>
      </c>
      <c r="P71" s="15">
        <f>$C71*(1+$D71)^(P$4-2025)</f>
        <v>12386785.661874274</v>
      </c>
      <c r="Q71" s="15">
        <f>$C71*(1+$D71)^(Q$4-2025)</f>
        <v>12939297.462695338</v>
      </c>
      <c r="R71" s="15">
        <f>$C71*(1+$D71)^(R$4-2025)</f>
        <v>13516454.017884452</v>
      </c>
      <c r="S71" s="15">
        <f>$C71*(1+$D71)^(S$4-2025)</f>
        <v>14119354.605170989</v>
      </c>
      <c r="T71" s="15">
        <f>$C71*(1+$D71)^(T$4-2025)</f>
        <v>14749147.53549879</v>
      </c>
      <c r="U71" s="15">
        <f>$C71*(1+$D71)^(U$4-2025)</f>
        <v>15407032.340149632</v>
      </c>
      <c r="V71" s="15">
        <f>$C71*(1+$D71)^(V$4-2025)</f>
        <v>16094262.055423191</v>
      </c>
      <c r="W71" s="15">
        <f>$C71*(1+$D71)^(W$4-2025)</f>
        <v>16812145.609225035</v>
      </c>
      <c r="X71" s="15">
        <f>$C71*(1+$D71)^(X$4-2025)</f>
        <v>17562050.314108204</v>
      </c>
    </row>
    <row r="72" spans="1:24">
      <c r="A72" s="24" t="str">
        <f>'Historical FY16-FY25'!A72</f>
        <v>Patrick County</v>
      </c>
      <c r="B72" s="24" t="str">
        <f>'Historical FY16-FY25'!B72</f>
        <v>County</v>
      </c>
      <c r="C72" s="25">
        <f>'Historical FY16-FY25'!H72</f>
        <v>4693874</v>
      </c>
      <c r="D72" s="19">
        <f>MIN(Assumptions!$B$27,MAX(Assumptions!$B$26,Assumptions!$B$24+Assumptions!$B$25*('Historical FY16-FY25'!J72-Assumptions!$B$20)))</f>
        <v>4.1902969087928565E-2</v>
      </c>
      <c r="E72" s="18">
        <f>$C72*(1+$D72)^(E$4-2025)</f>
        <v>4890561.2571246307</v>
      </c>
      <c r="F72" s="18">
        <f>$C72*(1+$D72)^(F$4-2025)</f>
        <v>5095490.294304545</v>
      </c>
      <c r="G72" s="18">
        <f>$C72*(1+$D72)^(G$4-2025)</f>
        <v>5309006.4665946281</v>
      </c>
      <c r="H72" s="18">
        <f>$C72*(1+$D72)^(H$4-2025)</f>
        <v>5531469.6004519546</v>
      </c>
      <c r="I72" s="18">
        <f>$C72*(1+$D72)^(I$4-2025)</f>
        <v>5763254.6001305087</v>
      </c>
      <c r="J72" s="18">
        <f>$C72*(1+$D72)^(J$4-2025)</f>
        <v>6004752.079485639</v>
      </c>
      <c r="K72" s="18">
        <f>$C72*(1+$D72)^(K$4-2025)</f>
        <v>6256369.0202529998</v>
      </c>
      <c r="L72" s="18">
        <f>$C72*(1+$D72)^(L$4-2025)</f>
        <v>6518529.4579113349</v>
      </c>
      <c r="M72" s="18">
        <f>$C72*(1+$D72)^(M$4-2025)</f>
        <v>6791675.1962849442</v>
      </c>
      <c r="N72" s="18">
        <f>$C72*(1+$D72)^(N$4-2025)</f>
        <v>7076266.5520901224</v>
      </c>
      <c r="O72" s="18">
        <f>$C72*(1+$D72)^(O$4-2025)</f>
        <v>7372783.1306802975</v>
      </c>
      <c r="P72" s="18">
        <f>$C72*(1+$D72)^(P$4-2025)</f>
        <v>7681724.634297194</v>
      </c>
      <c r="Q72" s="18">
        <f>$C72*(1+$D72)^(Q$4-2025)</f>
        <v>8003611.7041901276</v>
      </c>
      <c r="R72" s="18">
        <f>$C72*(1+$D72)^(R$4-2025)</f>
        <v>8338986.7980225887</v>
      </c>
      <c r="S72" s="18">
        <f>$C72*(1+$D72)^(S$4-2025)</f>
        <v>8688415.1040447727</v>
      </c>
      <c r="T72" s="18">
        <f>$C72*(1+$D72)^(T$4-2025)</f>
        <v>9052485.4935726523</v>
      </c>
      <c r="U72" s="18">
        <f>$C72*(1+$D72)^(U$4-2025)</f>
        <v>9431811.5133787487</v>
      </c>
      <c r="V72" s="18">
        <f>$C72*(1+$D72)^(V$4-2025)</f>
        <v>9827032.4196670242</v>
      </c>
      <c r="W72" s="18">
        <f>$C72*(1+$D72)^(W$4-2025)</f>
        <v>10238814.255374404</v>
      </c>
      <c r="X72" s="18">
        <f>$C72*(1+$D72)^(X$4-2025)</f>
        <v>10667850.972614398</v>
      </c>
    </row>
    <row r="73" spans="1:24">
      <c r="A73" s="22" t="str">
        <f>'Historical FY16-FY25'!A73</f>
        <v>Pittsylvania County</v>
      </c>
      <c r="B73" s="22" t="str">
        <f>'Historical FY16-FY25'!B73</f>
        <v>County</v>
      </c>
      <c r="C73" s="23">
        <f>'Historical FY16-FY25'!H73</f>
        <v>14278617</v>
      </c>
      <c r="D73" s="10">
        <f>MIN(Assumptions!$B$27,MAX(Assumptions!$B$26,Assumptions!$B$24+Assumptions!$B$25*('Historical FY16-FY25'!J73-Assumptions!$B$20)))</f>
        <v>3.5513158587833438E-2</v>
      </c>
      <c r="E73" s="15">
        <f>$C73*(1+$D73)^(E$4-2025)</f>
        <v>14785695.789935935</v>
      </c>
      <c r="F73" s="15">
        <f>$C73*(1+$D73)^(F$4-2025)</f>
        <v>15310782.549355391</v>
      </c>
      <c r="G73" s="15">
        <f>$C73*(1+$D73)^(G$4-2025)</f>
        <v>15854516.798134483</v>
      </c>
      <c r="H73" s="15">
        <f>$C73*(1+$D73)^(H$4-2025)</f>
        <v>16417560.767520102</v>
      </c>
      <c r="I73" s="15">
        <f>$C73*(1+$D73)^(I$4-2025)</f>
        <v>17000600.206682436</v>
      </c>
      <c r="J73" s="15">
        <f>$C73*(1+$D73)^(J$4-2025)</f>
        <v>17604345.217910703</v>
      </c>
      <c r="K73" s="15">
        <f>$C73*(1+$D73)^(K$4-2025)</f>
        <v>18229531.121469337</v>
      </c>
      <c r="L73" s="15">
        <f>$C73*(1+$D73)^(L$4-2025)</f>
        <v>18876919.351167921</v>
      </c>
      <c r="M73" s="15">
        <f>$C73*(1+$D73)^(M$4-2025)</f>
        <v>19547298.38173569</v>
      </c>
      <c r="N73" s="15">
        <f>$C73*(1+$D73)^(N$4-2025)</f>
        <v>20241484.689129971</v>
      </c>
      <c r="O73" s="15">
        <f>$C73*(1+$D73)^(O$4-2025)</f>
        <v>20960323.744948246</v>
      </c>
      <c r="P73" s="15">
        <f>$C73*(1+$D73)^(P$4-2025)</f>
        <v>21704691.046154924</v>
      </c>
      <c r="Q73" s="15">
        <f>$C73*(1+$D73)^(Q$4-2025)</f>
        <v>22475493.181376953</v>
      </c>
      <c r="R73" s="15">
        <f>$C73*(1+$D73)^(R$4-2025)</f>
        <v>23273668.935066961</v>
      </c>
      <c r="S73" s="15">
        <f>$C73*(1+$D73)^(S$4-2025)</f>
        <v>24100190.430878732</v>
      </c>
      <c r="T73" s="15">
        <f>$C73*(1+$D73)^(T$4-2025)</f>
        <v>24956064.315647509</v>
      </c>
      <c r="U73" s="15">
        <f>$C73*(1+$D73)^(U$4-2025)</f>
        <v>25842332.985417269</v>
      </c>
      <c r="V73" s="15">
        <f>$C73*(1+$D73)^(V$4-2025)</f>
        <v>26760075.855007995</v>
      </c>
      <c r="W73" s="15">
        <f>$C73*(1+$D73)^(W$4-2025)</f>
        <v>27710410.672669347</v>
      </c>
      <c r="X73" s="15">
        <f>$C73*(1+$D73)^(X$4-2025)</f>
        <v>28694494.881421849</v>
      </c>
    </row>
    <row r="74" spans="1:24">
      <c r="A74" s="24" t="str">
        <f>'Historical FY16-FY25'!A74</f>
        <v>Powhatan County</v>
      </c>
      <c r="B74" s="24" t="str">
        <f>'Historical FY16-FY25'!B74</f>
        <v>County</v>
      </c>
      <c r="C74" s="25">
        <f>'Historical FY16-FY25'!H74</f>
        <v>11324375</v>
      </c>
      <c r="D74" s="19">
        <f>MIN(Assumptions!$B$27,MAX(Assumptions!$B$26,Assumptions!$B$24+Assumptions!$B$25*('Historical FY16-FY25'!J74-Assumptions!$B$20)))</f>
        <v>5.7502236280698948E-2</v>
      </c>
      <c r="E74" s="18">
        <f>$C74*(1+$D74)^(E$4-2025)</f>
        <v>11975551.88698124</v>
      </c>
      <c r="F74" s="18">
        <f>$C74*(1+$D74)^(F$4-2025)</f>
        <v>12664172.901178205</v>
      </c>
      <c r="G74" s="18">
        <f>$C74*(1+$D74)^(G$4-2025)</f>
        <v>13392391.16364138</v>
      </c>
      <c r="H74" s="18">
        <f>$C74*(1+$D74)^(H$4-2025)</f>
        <v>14162483.60469663</v>
      </c>
      <c r="I74" s="18">
        <f>$C74*(1+$D74)^(I$4-2025)</f>
        <v>14976858.08325542</v>
      </c>
      <c r="J74" s="18">
        <f>$C74*(1+$D74)^(J$4-2025)</f>
        <v>15838060.91550127</v>
      </c>
      <c r="K74" s="18">
        <f>$C74*(1+$D74)^(K$4-2025)</f>
        <v>16748784.836492527</v>
      </c>
      <c r="L74" s="18">
        <f>$C74*(1+$D74)^(L$4-2025)</f>
        <v>17711877.41957511</v>
      </c>
      <c r="M74" s="18">
        <f>$C74*(1+$D74)^(M$4-2025)</f>
        <v>18730349.979930293</v>
      </c>
      <c r="N74" s="18">
        <f>$C74*(1+$D74)^(N$4-2025)</f>
        <v>19807386.990096428</v>
      </c>
      <c r="O74" s="18">
        <f>$C74*(1+$D74)^(O$4-2025)</f>
        <v>20946356.036904197</v>
      </c>
      <c r="P74" s="18">
        <f>$C74*(1+$D74)^(P$4-2025)</f>
        <v>22150818.350957908</v>
      </c>
      <c r="Q74" s="18">
        <f>$C74*(1+$D74)^(Q$4-2025)</f>
        <v>23424539.94158553</v>
      </c>
      <c r="R74" s="18">
        <f>$C74*(1+$D74)^(R$4-2025)</f>
        <v>24771503.372073252</v>
      </c>
      <c r="S74" s="18">
        <f>$C74*(1+$D74)^(S$4-2025)</f>
        <v>26195920.212002341</v>
      </c>
      <c r="T74" s="18">
        <f>$C74*(1+$D74)^(T$4-2025)</f>
        <v>27702244.205623232</v>
      </c>
      <c r="U74" s="18">
        <f>$C74*(1+$D74)^(U$4-2025)</f>
        <v>29295185.197440606</v>
      </c>
      <c r="V74" s="18">
        <f>$C74*(1+$D74)^(V$4-2025)</f>
        <v>30979723.858550668</v>
      </c>
      <c r="W74" s="18">
        <f>$C74*(1+$D74)^(W$4-2025)</f>
        <v>32761127.259775855</v>
      </c>
      <c r="X74" s="18">
        <f>$C74*(1+$D74)^(X$4-2025)</f>
        <v>34644965.340289533</v>
      </c>
    </row>
    <row r="75" spans="1:24">
      <c r="A75" s="22" t="str">
        <f>'Historical FY16-FY25'!A75</f>
        <v>Prince Edward County</v>
      </c>
      <c r="B75" s="22" t="str">
        <f>'Historical FY16-FY25'!B75</f>
        <v>County</v>
      </c>
      <c r="C75" s="23">
        <f>'Historical FY16-FY25'!H75</f>
        <v>7480388</v>
      </c>
      <c r="D75" s="10">
        <f>MIN(Assumptions!$B$27,MAX(Assumptions!$B$26,Assumptions!$B$24+Assumptions!$B$25*('Historical FY16-FY25'!J75-Assumptions!$B$20)))</f>
        <v>3.7991596236741421E-2</v>
      </c>
      <c r="E75" s="15">
        <f>$C75*(1+$D75)^(E$4-2025)</f>
        <v>7764579.880590166</v>
      </c>
      <c r="F75" s="15">
        <f>$C75*(1+$D75)^(F$4-2025)</f>
        <v>8059568.6643614741</v>
      </c>
      <c r="G75" s="15">
        <f>$C75*(1+$D75)^(G$4-2025)</f>
        <v>8365764.5429001888</v>
      </c>
      <c r="H75" s="15">
        <f>$C75*(1+$D75)^(H$4-2025)</f>
        <v>8683593.291625699</v>
      </c>
      <c r="I75" s="15">
        <f>$C75*(1+$D75)^(I$4-2025)</f>
        <v>9013496.8618452195</v>
      </c>
      <c r="J75" s="15">
        <f>$C75*(1+$D75)^(J$4-2025)</f>
        <v>9355933.9953015801</v>
      </c>
      <c r="K75" s="15">
        <f>$C75*(1+$D75)^(K$4-2025)</f>
        <v>9711380.862068681</v>
      </c>
      <c r="L75" s="15">
        <f>$C75*(1+$D75)^(L$4-2025)</f>
        <v>10080331.722681612</v>
      </c>
      <c r="M75" s="15">
        <f>$C75*(1+$D75)^(M$4-2025)</f>
        <v>10463299.615422148</v>
      </c>
      <c r="N75" s="15">
        <f>$C75*(1+$D75)^(N$4-2025)</f>
        <v>10860817.069715319</v>
      </c>
      <c r="O75" s="15">
        <f>$C75*(1+$D75)^(O$4-2025)</f>
        <v>11273436.846629051</v>
      </c>
      <c r="P75" s="15">
        <f>$C75*(1+$D75)^(P$4-2025)</f>
        <v>11701732.707506588</v>
      </c>
      <c r="Q75" s="15">
        <f>$C75*(1+$D75)^(Q$4-2025)</f>
        <v>12146300.211800447</v>
      </c>
      <c r="R75" s="15">
        <f>$C75*(1+$D75)^(R$4-2025)</f>
        <v>12607757.545217417</v>
      </c>
      <c r="S75" s="15">
        <f>$C75*(1+$D75)^(S$4-2025)</f>
        <v>13086746.379326051</v>
      </c>
      <c r="T75" s="15">
        <f>$C75*(1+$D75)^(T$4-2025)</f>
        <v>13583932.763822041</v>
      </c>
      <c r="U75" s="15">
        <f>$C75*(1+$D75)^(U$4-2025)</f>
        <v>14100008.052692212</v>
      </c>
      <c r="V75" s="15">
        <f>$C75*(1+$D75)^(V$4-2025)</f>
        <v>14635689.8655649</v>
      </c>
      <c r="W75" s="15">
        <f>$C75*(1+$D75)^(W$4-2025)</f>
        <v>15191723.085583609</v>
      </c>
      <c r="X75" s="15">
        <f>$C75*(1+$D75)^(X$4-2025)</f>
        <v>15768880.895191485</v>
      </c>
    </row>
    <row r="76" spans="1:24">
      <c r="A76" s="24" t="str">
        <f>'Historical FY16-FY25'!A76</f>
        <v>Prince George County</v>
      </c>
      <c r="B76" s="24" t="str">
        <f>'Historical FY16-FY25'!B76</f>
        <v>County</v>
      </c>
      <c r="C76" s="25">
        <f>'Historical FY16-FY25'!H76</f>
        <v>11548974</v>
      </c>
      <c r="D76" s="19">
        <f>MIN(Assumptions!$B$27,MAX(Assumptions!$B$26,Assumptions!$B$24+Assumptions!$B$25*('Historical FY16-FY25'!J76-Assumptions!$B$20)))</f>
        <v>4.8780800967107352E-2</v>
      </c>
      <c r="E76" s="18">
        <f>$C76*(1+$D76)^(E$4-2025)</f>
        <v>12112342.202068297</v>
      </c>
      <c r="F76" s="18">
        <f>$C76*(1+$D76)^(F$4-2025)</f>
        <v>12703191.956272887</v>
      </c>
      <c r="G76" s="18">
        <f>$C76*(1+$D76)^(G$4-2025)</f>
        <v>13322863.834738795</v>
      </c>
      <c r="H76" s="18">
        <f>$C76*(1+$D76)^(H$4-2025)</f>
        <v>13972763.803773062</v>
      </c>
      <c r="I76" s="18">
        <f>$C76*(1+$D76)^(I$4-2025)</f>
        <v>14654366.413845317</v>
      </c>
      <c r="J76" s="18">
        <f>$C76*(1+$D76)^(J$4-2025)</f>
        <v>15369218.145178171</v>
      </c>
      <c r="K76" s="18">
        <f>$C76*(1+$D76)^(K$4-2025)</f>
        <v>16118940.91653816</v>
      </c>
      <c r="L76" s="18">
        <f>$C76*(1+$D76)^(L$4-2025)</f>
        <v>16905235.765188374</v>
      </c>
      <c r="M76" s="18">
        <f>$C76*(1+$D76)^(M$4-2025)</f>
        <v>17729886.706352051</v>
      </c>
      <c r="N76" s="18">
        <f>$C76*(1+$D76)^(N$4-2025)</f>
        <v>18594764.780943975</v>
      </c>
      <c r="O76" s="18">
        <f>$C76*(1+$D76)^(O$4-2025)</f>
        <v>19501832.300753381</v>
      </c>
      <c r="P76" s="18">
        <f>$C76*(1+$D76)^(P$4-2025)</f>
        <v>20453147.300710339</v>
      </c>
      <c r="Q76" s="18">
        <f>$C76*(1+$D76)^(Q$4-2025)</f>
        <v>21450868.208337221</v>
      </c>
      <c r="R76" s="18">
        <f>$C76*(1+$D76)^(R$4-2025)</f>
        <v>22497258.740979772</v>
      </c>
      <c r="S76" s="18">
        <f>$C76*(1+$D76)^(S$4-2025)</f>
        <v>23594693.041929021</v>
      </c>
      <c r="T76" s="18">
        <f>$C76*(1+$D76)^(T$4-2025)</f>
        <v>24745661.067087356</v>
      </c>
      <c r="U76" s="18">
        <f>$C76*(1+$D76)^(U$4-2025)</f>
        <v>25952774.23440044</v>
      </c>
      <c r="V76" s="18">
        <f>$C76*(1+$D76)^(V$4-2025)</f>
        <v>27218771.348873004</v>
      </c>
      <c r="W76" s="18">
        <f>$C76*(1+$D76)^(W$4-2025)</f>
        <v>28546524.816611581</v>
      </c>
      <c r="X76" s="18">
        <f>$C76*(1+$D76)^(X$4-2025)</f>
        <v>29939047.161993306</v>
      </c>
    </row>
    <row r="77" spans="1:24">
      <c r="A77" s="22" t="str">
        <f>'Historical FY16-FY25'!A77</f>
        <v>Prince William County</v>
      </c>
      <c r="B77" s="22" t="str">
        <f>'Historical FY16-FY25'!B77</f>
        <v>County</v>
      </c>
      <c r="C77" s="23">
        <f>'Historical FY16-FY25'!H77</f>
        <v>208627653</v>
      </c>
      <c r="D77" s="10">
        <f>MIN(Assumptions!$B$27,MAX(Assumptions!$B$26,Assumptions!$B$24+Assumptions!$B$25*('Historical FY16-FY25'!J77-Assumptions!$B$20)))</f>
        <v>4.6014063301684893E-2</v>
      </c>
      <c r="E77" s="15">
        <f>$C77*(1+$D77)^(E$4-2025)</f>
        <v>218227459.03162393</v>
      </c>
      <c r="F77" s="15">
        <f>$C77*(1+$D77)^(F$4-2025)</f>
        <v>228268991.14567089</v>
      </c>
      <c r="G77" s="15">
        <f>$C77*(1+$D77)^(G$4-2025)</f>
        <v>238772574.95405954</v>
      </c>
      <c r="H77" s="15">
        <f>$C77*(1+$D77)^(H$4-2025)</f>
        <v>249759471.33270189</v>
      </c>
      <c r="I77" s="15">
        <f>$C77*(1+$D77)^(I$4-2025)</f>
        <v>261251919.45680016</v>
      </c>
      <c r="J77" s="15">
        <f>$C77*(1+$D77)^(J$4-2025)</f>
        <v>273273181.81637204</v>
      </c>
      <c r="K77" s="15">
        <f>$C77*(1+$D77)^(K$4-2025)</f>
        <v>285847591.30312341</v>
      </c>
      <c r="L77" s="15">
        <f>$C77*(1+$D77)^(L$4-2025)</f>
        <v>299000600.46397942</v>
      </c>
      <c r="M77" s="15">
        <f>$C77*(1+$D77)^(M$4-2025)</f>
        <v>312758833.0209707</v>
      </c>
      <c r="N77" s="15">
        <f>$C77*(1+$D77)^(N$4-2025)</f>
        <v>327150137.76175874</v>
      </c>
      <c r="O77" s="15">
        <f>$C77*(1+$D77)^(O$4-2025)</f>
        <v>342203644.90988326</v>
      </c>
      <c r="P77" s="15">
        <f>$C77*(1+$D77)^(P$4-2025)</f>
        <v>357949825.08883387</v>
      </c>
      <c r="Q77" s="15">
        <f>$C77*(1+$D77)^(Q$4-2025)</f>
        <v>374420550.99929845</v>
      </c>
      <c r="R77" s="15">
        <f>$C77*(1+$D77)^(R$4-2025)</f>
        <v>391649161.93443185</v>
      </c>
      <c r="S77" s="15">
        <f>$C77*(1+$D77)^(S$4-2025)</f>
        <v>409670531.26373464</v>
      </c>
      <c r="T77" s="15">
        <f>$C77*(1+$D77)^(T$4-2025)</f>
        <v>428521137.02213895</v>
      </c>
      <c r="U77" s="15">
        <f>$C77*(1+$D77)^(U$4-2025)</f>
        <v>448239135.74718559</v>
      </c>
      <c r="V77" s="15">
        <f>$C77*(1+$D77)^(V$4-2025)</f>
        <v>468864439.71374911</v>
      </c>
      <c r="W77" s="15">
        <f>$C77*(1+$D77)^(W$4-2025)</f>
        <v>490438797.72264653</v>
      </c>
      <c r="X77" s="15">
        <f>$C77*(1+$D77)^(X$4-2025)</f>
        <v>513005879.60665852</v>
      </c>
    </row>
    <row r="78" spans="1:24">
      <c r="A78" s="24" t="str">
        <f>'Historical FY16-FY25'!A78</f>
        <v>Pulaski County</v>
      </c>
      <c r="B78" s="24" t="str">
        <f>'Historical FY16-FY25'!B78</f>
        <v>County</v>
      </c>
      <c r="C78" s="25">
        <f>'Historical FY16-FY25'!H78</f>
        <v>11067765</v>
      </c>
      <c r="D78" s="19">
        <f>MIN(Assumptions!$B$27,MAX(Assumptions!$B$26,Assumptions!$B$24+Assumptions!$B$25*('Historical FY16-FY25'!J78-Assumptions!$B$20)))</f>
        <v>3.9258430303334535E-2</v>
      </c>
      <c r="E78" s="18">
        <f>$C78*(1+$D78)^(E$4-2025)</f>
        <v>11502268.080866186</v>
      </c>
      <c r="F78" s="18">
        <f>$C78*(1+$D78)^(F$4-2025)</f>
        <v>11953829.07064914</v>
      </c>
      <c r="G78" s="18">
        <f>$C78*(1+$D78)^(G$4-2025)</f>
        <v>12423117.636077194</v>
      </c>
      <c r="H78" s="18">
        <f>$C78*(1+$D78)^(H$4-2025)</f>
        <v>12910829.733943256</v>
      </c>
      <c r="I78" s="18">
        <f>$C78*(1+$D78)^(I$4-2025)</f>
        <v>13417688.643211486</v>
      </c>
      <c r="J78" s="18">
        <f>$C78*(1+$D78)^(J$4-2025)</f>
        <v>13944446.037642848</v>
      </c>
      <c r="K78" s="18">
        <f>$C78*(1+$D78)^(K$4-2025)</f>
        <v>14491883.100530259</v>
      </c>
      <c r="L78" s="18">
        <f>$C78*(1+$D78)^(L$4-2025)</f>
        <v>15060811.683196498</v>
      </c>
      <c r="M78" s="18">
        <f>$C78*(1+$D78)^(M$4-2025)</f>
        <v>15652075.508972915</v>
      </c>
      <c r="N78" s="18">
        <f>$C78*(1+$D78)^(N$4-2025)</f>
        <v>16266551.424444458</v>
      </c>
      <c r="O78" s="18">
        <f>$C78*(1+$D78)^(O$4-2025)</f>
        <v>16905150.699816614</v>
      </c>
      <c r="P78" s="18">
        <f>$C78*(1+$D78)^(P$4-2025)</f>
        <v>17568820.380332734</v>
      </c>
      <c r="Q78" s="18">
        <f>$C78*(1+$D78)^(Q$4-2025)</f>
        <v>18258544.690745831</v>
      </c>
      <c r="R78" s="18">
        <f>$C78*(1+$D78)^(R$4-2025)</f>
        <v>18975346.494927797</v>
      </c>
      <c r="S78" s="18">
        <f>$C78*(1+$D78)^(S$4-2025)</f>
        <v>19720288.812780544</v>
      </c>
      <c r="T78" s="18">
        <f>$C78*(1+$D78)^(T$4-2025)</f>
        <v>20494476.396698717</v>
      </c>
      <c r="U78" s="18">
        <f>$C78*(1+$D78)^(U$4-2025)</f>
        <v>21299057.369921848</v>
      </c>
      <c r="V78" s="18">
        <f>$C78*(1+$D78)^(V$4-2025)</f>
        <v>22135224.929205649</v>
      </c>
      <c r="W78" s="18">
        <f>$C78*(1+$D78)^(W$4-2025)</f>
        <v>23004219.114337496</v>
      </c>
      <c r="X78" s="18">
        <f>$C78*(1+$D78)^(X$4-2025)</f>
        <v>23907328.647120357</v>
      </c>
    </row>
    <row r="79" spans="1:24">
      <c r="A79" s="22" t="str">
        <f>'Historical FY16-FY25'!A79</f>
        <v>Rappahannock County</v>
      </c>
      <c r="B79" s="22" t="str">
        <f>'Historical FY16-FY25'!B79</f>
        <v>County</v>
      </c>
      <c r="C79" s="23">
        <f>'Historical FY16-FY25'!H79</f>
        <v>2139814</v>
      </c>
      <c r="D79" s="10">
        <f>MIN(Assumptions!$B$27,MAX(Assumptions!$B$26,Assumptions!$B$24+Assumptions!$B$25*('Historical FY16-FY25'!J79-Assumptions!$B$20)))</f>
        <v>4.8010678494672665E-2</v>
      </c>
      <c r="E79" s="15">
        <f>$C79*(1+$D79)^(E$4-2025)</f>
        <v>2242547.9219923993</v>
      </c>
      <c r="F79" s="15">
        <f>$C79*(1+$D79)^(F$4-2025)</f>
        <v>2350214.1692840727</v>
      </c>
      <c r="G79" s="15">
        <f>$C79*(1+$D79)^(G$4-2025)</f>
        <v>2463049.5461591939</v>
      </c>
      <c r="H79" s="15">
        <f>$C79*(1+$D79)^(H$4-2025)</f>
        <v>2581302.226036293</v>
      </c>
      <c r="I79" s="15">
        <f>$C79*(1+$D79)^(I$4-2025)</f>
        <v>2705232.2973081036</v>
      </c>
      <c r="J79" s="15">
        <f>$C79*(1+$D79)^(J$4-2025)</f>
        <v>2835112.335387568</v>
      </c>
      <c r="K79" s="15">
        <f>$C79*(1+$D79)^(K$4-2025)</f>
        <v>2971228.0022181408</v>
      </c>
      <c r="L79" s="15">
        <f>$C79*(1+$D79)^(L$4-2025)</f>
        <v>3113878.6745670047</v>
      </c>
      <c r="M79" s="15">
        <f>$C79*(1+$D79)^(M$4-2025)</f>
        <v>3263378.1024830583</v>
      </c>
      <c r="N79" s="15">
        <f>$C79*(1+$D79)^(N$4-2025)</f>
        <v>3420055.0993679273</v>
      </c>
      <c r="O79" s="15">
        <f>$C79*(1+$D79)^(O$4-2025)</f>
        <v>3584254.2651777463</v>
      </c>
      <c r="P79" s="15">
        <f>$C79*(1+$D79)^(P$4-2025)</f>
        <v>3756336.7443463546</v>
      </c>
      <c r="Q79" s="15">
        <f>$C79*(1+$D79)^(Q$4-2025)</f>
        <v>3936681.020096892</v>
      </c>
      <c r="R79" s="15">
        <f>$C79*(1+$D79)^(R$4-2025)</f>
        <v>4125683.7468888443</v>
      </c>
      <c r="S79" s="15">
        <f>$C79*(1+$D79)^(S$4-2025)</f>
        <v>4323760.622831421</v>
      </c>
      <c r="T79" s="15">
        <f>$C79*(1+$D79)^(T$4-2025)</f>
        <v>4531347.303982107</v>
      </c>
      <c r="U79" s="15">
        <f>$C79*(1+$D79)^(U$4-2025)</f>
        <v>4748900.3625412928</v>
      </c>
      <c r="V79" s="15">
        <f>$C79*(1+$D79)^(V$4-2025)</f>
        <v>4976898.2910504965</v>
      </c>
      <c r="W79" s="15">
        <f>$C79*(1+$D79)^(W$4-2025)</f>
        <v>5215842.554802808</v>
      </c>
      <c r="X79" s="15">
        <f>$C79*(1+$D79)^(X$4-2025)</f>
        <v>5466258.694780278</v>
      </c>
    </row>
    <row r="80" spans="1:24">
      <c r="A80" s="24" t="str">
        <f>'Historical FY16-FY25'!A80</f>
        <v>Richmond County</v>
      </c>
      <c r="B80" s="24" t="str">
        <f>'Historical FY16-FY25'!B80</f>
        <v>County</v>
      </c>
      <c r="C80" s="25">
        <f>'Historical FY16-FY25'!H80</f>
        <v>3097453</v>
      </c>
      <c r="D80" s="19">
        <f>MIN(Assumptions!$B$27,MAX(Assumptions!$B$26,Assumptions!$B$24+Assumptions!$B$25*('Historical FY16-FY25'!J80-Assumptions!$B$20)))</f>
        <v>3.1433543688639487E-2</v>
      </c>
      <c r="E80" s="18">
        <f>$C80*(1+$D80)^(E$4-2025)</f>
        <v>3194816.9241990075</v>
      </c>
      <c r="F80" s="18">
        <f>$C80*(1+$D80)^(F$4-2025)</f>
        <v>3295241.3415630218</v>
      </c>
      <c r="G80" s="18">
        <f>$C80*(1+$D80)^(G$4-2025)</f>
        <v>3398822.4542376539</v>
      </c>
      <c r="H80" s="18">
        <f>$C80*(1+$D80)^(H$4-2025)</f>
        <v>3505659.4883428626</v>
      </c>
      <c r="I80" s="18">
        <f>$C80*(1+$D80)^(I$4-2025)</f>
        <v>3615854.7890271815</v>
      </c>
      <c r="J80" s="18">
        <f>$C80*(1+$D80)^(J$4-2025)</f>
        <v>3729513.9185098433</v>
      </c>
      <c r="K80" s="18">
        <f>$C80*(1+$D80)^(K$4-2025)</f>
        <v>3846745.7572047114</v>
      </c>
      <c r="L80" s="18">
        <f>$C80*(1+$D80)^(L$4-2025)</f>
        <v>3967662.6080228947</v>
      </c>
      <c r="M80" s="18">
        <f>$C80*(1+$D80)^(M$4-2025)</f>
        <v>4092380.3039539638</v>
      </c>
      <c r="N80" s="18">
        <f>$C80*(1+$D80)^(N$4-2025)</f>
        <v>4221018.3190288283</v>
      </c>
      <c r="O80" s="18">
        <f>$C80*(1+$D80)^(O$4-2025)</f>
        <v>4353699.8827705681</v>
      </c>
      <c r="P80" s="18">
        <f>$C80*(1+$D80)^(P$4-2025)</f>
        <v>4490552.0982428622</v>
      </c>
      <c r="Q80" s="18">
        <f>$C80*(1+$D80)^(Q$4-2025)</f>
        <v>4631706.0638090912</v>
      </c>
      <c r="R80" s="18">
        <f>$C80*(1+$D80)^(R$4-2025)</f>
        <v>4777296.9987187702</v>
      </c>
      <c r="S80" s="18">
        <f>$C80*(1+$D80)^(S$4-2025)</f>
        <v>4927464.3726416025</v>
      </c>
      <c r="T80" s="18">
        <f>$C80*(1+$D80)^(T$4-2025)</f>
        <v>5082352.0392732471</v>
      </c>
      <c r="U80" s="18">
        <f>$C80*(1+$D80)^(U$4-2025)</f>
        <v>5242108.3741407888</v>
      </c>
      <c r="V80" s="18">
        <f>$C80*(1+$D80)^(V$4-2025)</f>
        <v>5406886.4167399267</v>
      </c>
      <c r="W80" s="18">
        <f>$C80*(1+$D80)^(W$4-2025)</f>
        <v>5576844.0171400318</v>
      </c>
      <c r="X80" s="18">
        <f>$C80*(1+$D80)^(X$4-2025)</f>
        <v>5752143.9871975314</v>
      </c>
    </row>
    <row r="81" spans="1:24">
      <c r="A81" s="22" t="str">
        <f>'Historical FY16-FY25'!A81</f>
        <v>Roanoke County</v>
      </c>
      <c r="B81" s="22" t="str">
        <f>'Historical FY16-FY25'!B81</f>
        <v>County</v>
      </c>
      <c r="C81" s="23">
        <f>'Historical FY16-FY25'!H81</f>
        <v>34312920</v>
      </c>
      <c r="D81" s="10">
        <f>MIN(Assumptions!$B$27,MAX(Assumptions!$B$26,Assumptions!$B$24+Assumptions!$B$25*('Historical FY16-FY25'!J81-Assumptions!$B$20)))</f>
        <v>4.1574518678637151E-2</v>
      </c>
      <c r="E81" s="15">
        <f>$C81*(1+$D81)^(E$4-2025)</f>
        <v>35739463.133458585</v>
      </c>
      <c r="F81" s="15">
        <f>$C81*(1+$D81)^(F$4-2025)</f>
        <v>37225314.111065023</v>
      </c>
      <c r="G81" s="15">
        <f>$C81*(1+$D81)^(G$4-2025)</f>
        <v>38772938.627893634</v>
      </c>
      <c r="H81" s="15">
        <f>$C81*(1+$D81)^(H$4-2025)</f>
        <v>40384904.889104649</v>
      </c>
      <c r="I81" s="15">
        <f>$C81*(1+$D81)^(I$4-2025)</f>
        <v>42063887.871751718</v>
      </c>
      <c r="J81" s="15">
        <f>$C81*(1+$D81)^(J$4-2025)</f>
        <v>43812673.763771959</v>
      </c>
      <c r="K81" s="15">
        <f>$C81*(1+$D81)^(K$4-2025)</f>
        <v>45634164.587524936</v>
      </c>
      <c r="L81" s="15">
        <f>$C81*(1+$D81)^(L$4-2025)</f>
        <v>47531383.015552998</v>
      </c>
      <c r="M81" s="15">
        <f>$C81*(1+$D81)^(M$4-2025)</f>
        <v>49507477.386554562</v>
      </c>
      <c r="N81" s="15">
        <f>$C81*(1+$D81)^(N$4-2025)</f>
        <v>51565726.92989409</v>
      </c>
      <c r="O81" s="15">
        <f>$C81*(1+$D81)^(O$4-2025)</f>
        <v>53709547.20731847</v>
      </c>
      <c r="P81" s="15">
        <f>$C81*(1+$D81)^(P$4-2025)</f>
        <v>55942495.780910283</v>
      </c>
      <c r="Q81" s="15">
        <f>$C81*(1+$D81)^(Q$4-2025)</f>
        <v>58268278.116683319</v>
      </c>
      <c r="R81" s="15">
        <f>$C81*(1+$D81)^(R$4-2025)</f>
        <v>60690753.733617395</v>
      </c>
      <c r="S81" s="15">
        <f>$C81*(1+$D81)^(S$4-2025)</f>
        <v>63213942.608336248</v>
      </c>
      <c r="T81" s="15">
        <f>$C81*(1+$D81)^(T$4-2025)</f>
        <v>65842031.846056819</v>
      </c>
      <c r="U81" s="15">
        <f>$C81*(1+$D81)^(U$4-2025)</f>
        <v>68579382.628880128</v>
      </c>
      <c r="V81" s="15">
        <f>$C81*(1+$D81)^(V$4-2025)</f>
        <v>71430537.45295392</v>
      </c>
      <c r="W81" s="15">
        <f>$C81*(1+$D81)^(W$4-2025)</f>
        <v>74400227.66651684</v>
      </c>
      <c r="X81" s="15">
        <f>$C81*(1+$D81)^(X$4-2025)</f>
        <v>77493381.321333304</v>
      </c>
    </row>
    <row r="82" spans="1:24">
      <c r="A82" s="24" t="str">
        <f>'Historical FY16-FY25'!A82</f>
        <v>Rockbridge County</v>
      </c>
      <c r="B82" s="24" t="str">
        <f>'Historical FY16-FY25'!B82</f>
        <v>County</v>
      </c>
      <c r="C82" s="25">
        <f>'Historical FY16-FY25'!H82</f>
        <v>8077193</v>
      </c>
      <c r="D82" s="19">
        <f>MIN(Assumptions!$B$27,MAX(Assumptions!$B$26,Assumptions!$B$24+Assumptions!$B$25*('Historical FY16-FY25'!J82-Assumptions!$B$20)))</f>
        <v>4.9553414796411954E-2</v>
      </c>
      <c r="E82" s="18">
        <f>$C82*(1+$D82)^(E$4-2025)</f>
        <v>8477445.4951196741</v>
      </c>
      <c r="F82" s="18">
        <f>$C82*(1+$D82)^(F$4-2025)</f>
        <v>8897531.8681533113</v>
      </c>
      <c r="G82" s="18">
        <f>$C82*(1+$D82)^(G$4-2025)</f>
        <v>9338434.9554802068</v>
      </c>
      <c r="H82" s="18">
        <f>$C82*(1+$D82)^(H$4-2025)</f>
        <v>9801186.2963784281</v>
      </c>
      <c r="I82" s="18">
        <f>$C82*(1+$D82)^(I$4-2025)</f>
        <v>10286868.546419775</v>
      </c>
      <c r="J82" s="18">
        <f>$C82*(1+$D82)^(J$4-2025)</f>
        <v>10796618.010456676</v>
      </c>
      <c r="K82" s="18">
        <f>$C82*(1+$D82)^(K$4-2025)</f>
        <v>11331627.301127248</v>
      </c>
      <c r="L82" s="18">
        <f>$C82*(1+$D82)^(L$4-2025)</f>
        <v>11893148.12909835</v>
      </c>
      <c r="M82" s="18">
        <f>$C82*(1+$D82)^(M$4-2025)</f>
        <v>12482494.231574731</v>
      </c>
      <c r="N82" s="18">
        <f>$C82*(1+$D82)^(N$4-2025)</f>
        <v>13101044.44592577</v>
      </c>
      <c r="O82" s="18">
        <f>$C82*(1+$D82)^(O$4-2025)</f>
        <v>13750245.935620958</v>
      </c>
      <c r="P82" s="18">
        <f>$C82*(1+$D82)^(P$4-2025)</f>
        <v>14431617.576021459</v>
      </c>
      <c r="Q82" s="18">
        <f>$C82*(1+$D82)^(Q$4-2025)</f>
        <v>15146753.507949239</v>
      </c>
      <c r="R82" s="18">
        <f>$C82*(1+$D82)^(R$4-2025)</f>
        <v>15897326.86734765</v>
      </c>
      <c r="S82" s="18">
        <f>$C82*(1+$D82)^(S$4-2025)</f>
        <v>16685093.699759474</v>
      </c>
      <c r="T82" s="18">
        <f>$C82*(1+$D82)^(T$4-2025)</f>
        <v>17511897.068780653</v>
      </c>
      <c r="U82" s="18">
        <f>$C82*(1+$D82)^(U$4-2025)</f>
        <v>18379671.368102007</v>
      </c>
      <c r="V82" s="18">
        <f>$C82*(1+$D82)^(V$4-2025)</f>
        <v>19290446.847227301</v>
      </c>
      <c r="W82" s="18">
        <f>$C82*(1+$D82)^(W$4-2025)</f>
        <v>20246354.361456092</v>
      </c>
      <c r="X82" s="18">
        <f>$C82*(1+$D82)^(X$4-2025)</f>
        <v>21249630.357244466</v>
      </c>
    </row>
    <row r="83" spans="1:24">
      <c r="A83" s="22" t="str">
        <f>'Historical FY16-FY25'!A83</f>
        <v>Rockingham County</v>
      </c>
      <c r="B83" s="22" t="str">
        <f>'Historical FY16-FY25'!B83</f>
        <v>County</v>
      </c>
      <c r="C83" s="23">
        <f>'Historical FY16-FY25'!H83</f>
        <v>30052576</v>
      </c>
      <c r="D83" s="10">
        <f>MIN(Assumptions!$B$27,MAX(Assumptions!$B$26,Assumptions!$B$24+Assumptions!$B$25*('Historical FY16-FY25'!J83-Assumptions!$B$20)))</f>
        <v>5.4752150869844418E-2</v>
      </c>
      <c r="E83" s="15">
        <f>$C83*(1+$D83)^(E$4-2025)</f>
        <v>31698019.175179463</v>
      </c>
      <c r="F83" s="15">
        <f>$C83*(1+$D83)^(F$4-2025)</f>
        <v>33433553.903334104</v>
      </c>
      <c r="G83" s="15">
        <f>$C83*(1+$D83)^(G$4-2025)</f>
        <v>35264112.890764527</v>
      </c>
      <c r="H83" s="15">
        <f>$C83*(1+$D83)^(H$4-2025)</f>
        <v>37194898.920050882</v>
      </c>
      <c r="I83" s="15">
        <f>$C83*(1+$D83)^(I$4-2025)</f>
        <v>39231399.63731011</v>
      </c>
      <c r="J83" s="15">
        <f>$C83*(1+$D83)^(J$4-2025)</f>
        <v>41379403.149087265</v>
      </c>
      <c r="K83" s="15">
        <f>$C83*(1+$D83)^(K$4-2025)</f>
        <v>43645014.473210216</v>
      </c>
      <c r="L83" s="15">
        <f>$C83*(1+$D83)^(L$4-2025)</f>
        <v>46034672.890363947</v>
      </c>
      <c r="M83" s="15">
        <f>$C83*(1+$D83)^(M$4-2025)</f>
        <v>48555170.245701082</v>
      </c>
      <c r="N83" s="15">
        <f>$C83*(1+$D83)^(N$4-2025)</f>
        <v>51213670.252504684</v>
      </c>
      <c r="O83" s="15">
        <f>$C83*(1+$D83)^(O$4-2025)</f>
        <v>54017728.85276828</v>
      </c>
      <c r="P83" s="15">
        <f>$C83*(1+$D83)^(P$4-2025)</f>
        <v>56975315.692561373</v>
      </c>
      <c r="Q83" s="15">
        <f>$C83*(1+$D83)^(Q$4-2025)</f>
        <v>60094836.773217499</v>
      </c>
      <c r="R83" s="15">
        <f>$C83*(1+$D83)^(R$4-2025)</f>
        <v>63385158.342723362</v>
      </c>
      <c r="S83" s="15">
        <f>$C83*(1+$D83)^(S$4-2025)</f>
        <v>66855632.095213145</v>
      </c>
      <c r="T83" s="15">
        <f>$C83*(1+$D83)^(T$4-2025)</f>
        <v>70516121.750189036</v>
      </c>
      <c r="U83" s="15">
        <f>$C83*(1+$D83)^(U$4-2025)</f>
        <v>74377031.08701171</v>
      </c>
      <c r="V83" s="15">
        <f>$C83*(1+$D83)^(V$4-2025)</f>
        <v>78449333.514338866</v>
      </c>
      <c r="W83" s="15">
        <f>$C83*(1+$D83)^(W$4-2025)</f>
        <v>82744603.258554682</v>
      </c>
      <c r="X83" s="15">
        <f>$C83*(1+$D83)^(X$4-2025)</f>
        <v>87275048.259832457</v>
      </c>
    </row>
    <row r="84" spans="1:24">
      <c r="A84" s="24" t="str">
        <f>'Historical FY16-FY25'!A84</f>
        <v>Russell County</v>
      </c>
      <c r="B84" s="24" t="str">
        <f>'Historical FY16-FY25'!B84</f>
        <v>County</v>
      </c>
      <c r="C84" s="25">
        <f>'Historical FY16-FY25'!H84</f>
        <v>6890431</v>
      </c>
      <c r="D84" s="19">
        <f>MIN(Assumptions!$B$27,MAX(Assumptions!$B$26,Assumptions!$B$24+Assumptions!$B$25*('Historical FY16-FY25'!J84-Assumptions!$B$20)))</f>
        <v>3.3972368691165267E-2</v>
      </c>
      <c r="E84" s="18">
        <f>$C84*(1+$D84)^(E$4-2025)</f>
        <v>7124515.2623730348</v>
      </c>
      <c r="F84" s="18">
        <f>$C84*(1+$D84)^(F$4-2025)</f>
        <v>7366551.921612205</v>
      </c>
      <c r="G84" s="18">
        <f>$C84*(1+$D84)^(G$4-2025)</f>
        <v>7616811.1394758271</v>
      </c>
      <c r="H84" s="18">
        <f>$C84*(1+$D84)^(H$4-2025)</f>
        <v>7875572.2557570739</v>
      </c>
      <c r="I84" s="18">
        <f>$C84*(1+$D84)^(I$4-2025)</f>
        <v>8143124.1000835653</v>
      </c>
      <c r="J84" s="18">
        <f>$C84*(1+$D84)^(J$4-2025)</f>
        <v>8419765.3143095169</v>
      </c>
      <c r="K84" s="18">
        <f>$C84*(1+$D84)^(K$4-2025)</f>
        <v>8705804.6858603265</v>
      </c>
      <c r="L84" s="18">
        <f>$C84*(1+$D84)^(L$4-2025)</f>
        <v>9001561.4924016446</v>
      </c>
      <c r="M84" s="18">
        <f>$C84*(1+$D84)^(M$4-2025)</f>
        <v>9307365.8582177088</v>
      </c>
      <c r="N84" s="18">
        <f>$C84*(1+$D84)^(N$4-2025)</f>
        <v>9623559.1226966437</v>
      </c>
      <c r="O84" s="18">
        <f>$C84*(1+$D84)^(O$4-2025)</f>
        <v>9950494.2213341221</v>
      </c>
      <c r="P84" s="18">
        <f>$C84*(1+$D84)^(P$4-2025)</f>
        <v>10288536.079680594</v>
      </c>
      <c r="Q84" s="18">
        <f>$C84*(1+$D84)^(Q$4-2025)</f>
        <v>10638062.020671859</v>
      </c>
      <c r="R84" s="18">
        <f>$C84*(1+$D84)^(R$4-2025)</f>
        <v>10999462.185797604</v>
      </c>
      <c r="S84" s="18">
        <f>$C84*(1+$D84)^(S$4-2025)</f>
        <v>11373139.970578054</v>
      </c>
      <c r="T84" s="18">
        <f>$C84*(1+$D84)^(T$4-2025)</f>
        <v>11759512.474834755</v>
      </c>
      <c r="U84" s="18">
        <f>$C84*(1+$D84)^(U$4-2025)</f>
        <v>12159010.968258198</v>
      </c>
      <c r="V84" s="18">
        <f>$C84*(1+$D84)^(V$4-2025)</f>
        <v>12572081.371791787</v>
      </c>
      <c r="W84" s="18">
        <f>$C84*(1+$D84)^(W$4-2025)</f>
        <v>12999184.755369632</v>
      </c>
      <c r="X84" s="18">
        <f>$C84*(1+$D84)^(X$4-2025)</f>
        <v>13440797.852563621</v>
      </c>
    </row>
    <row r="85" spans="1:24">
      <c r="A85" s="22" t="str">
        <f>'Historical FY16-FY25'!A85</f>
        <v>Scott County</v>
      </c>
      <c r="B85" s="22" t="str">
        <f>'Historical FY16-FY25'!B85</f>
        <v>County</v>
      </c>
      <c r="C85" s="23">
        <f>'Historical FY16-FY25'!H85</f>
        <v>5749129</v>
      </c>
      <c r="D85" s="10">
        <f>MIN(Assumptions!$B$27,MAX(Assumptions!$B$26,Assumptions!$B$24+Assumptions!$B$25*('Historical FY16-FY25'!J85-Assumptions!$B$20)))</f>
        <v>3.4860345409310156E-2</v>
      </c>
      <c r="E85" s="15">
        <f>$C85*(1+$D85)^(E$4-2025)</f>
        <v>5949545.6227426818</v>
      </c>
      <c r="F85" s="15">
        <f>$C85*(1+$D85)^(F$4-2025)</f>
        <v>6156948.8381799413</v>
      </c>
      <c r="G85" s="15">
        <f>$C85*(1+$D85)^(G$4-2025)</f>
        <v>6371582.2013463452</v>
      </c>
      <c r="H85" s="15">
        <f>$C85*(1+$D85)^(H$4-2025)</f>
        <v>6593697.7576890923</v>
      </c>
      <c r="I85" s="15">
        <f>$C85*(1+$D85)^(I$4-2025)</f>
        <v>6823556.3390467279</v>
      </c>
      <c r="J85" s="15">
        <f>$C85*(1+$D85)^(J$4-2025)</f>
        <v>7061427.869945785</v>
      </c>
      <c r="K85" s="15">
        <f>$C85*(1+$D85)^(K$4-2025)</f>
        <v>7307591.684575025</v>
      </c>
      <c r="L85" s="15">
        <f>$C85*(1+$D85)^(L$4-2025)</f>
        <v>7562336.8548095124</v>
      </c>
      <c r="M85" s="15">
        <f>$C85*(1+$D85)^(M$4-2025)</f>
        <v>7825962.5296697291</v>
      </c>
      <c r="N85" s="15">
        <f>$C85*(1+$D85)^(N$4-2025)</f>
        <v>8098778.2866143351</v>
      </c>
      <c r="O85" s="15">
        <f>$C85*(1+$D85)^(O$4-2025)</f>
        <v>8381104.4950791327</v>
      </c>
      <c r="P85" s="15">
        <f>$C85*(1+$D85)^(P$4-2025)</f>
        <v>8673272.6926891133</v>
      </c>
      <c r="Q85" s="15">
        <f>$C85*(1+$D85)^(Q$4-2025)</f>
        <v>8975625.9745853934</v>
      </c>
      <c r="R85" s="15">
        <f>$C85*(1+$D85)^(R$4-2025)</f>
        <v>9288519.3963242155</v>
      </c>
      <c r="S85" s="15">
        <f>$C85*(1+$D85)^(S$4-2025)</f>
        <v>9612320.390821157</v>
      </c>
      <c r="T85" s="15">
        <f>$C85*(1+$D85)^(T$4-2025)</f>
        <v>9947409.1998301372</v>
      </c>
      <c r="U85" s="15">
        <f>$C85*(1+$D85)^(U$4-2025)</f>
        <v>10294179.320463965</v>
      </c>
      <c r="V85" s="15">
        <f>$C85*(1+$D85)^(V$4-2025)</f>
        <v>10653037.967280718</v>
      </c>
      <c r="W85" s="15">
        <f>$C85*(1+$D85)^(W$4-2025)</f>
        <v>11024406.550478619</v>
      </c>
      <c r="X85" s="15">
        <f>$C85*(1+$D85)^(X$4-2025)</f>
        <v>11408721.170760965</v>
      </c>
    </row>
    <row r="86" spans="1:24">
      <c r="A86" s="24" t="str">
        <f>'Historical FY16-FY25'!A86</f>
        <v>Shenandoah County</v>
      </c>
      <c r="B86" s="24" t="str">
        <f>'Historical FY16-FY25'!B86</f>
        <v>County</v>
      </c>
      <c r="C86" s="25">
        <f>'Historical FY16-FY25'!H86</f>
        <v>15045040</v>
      </c>
      <c r="D86" s="19">
        <f>MIN(Assumptions!$B$27,MAX(Assumptions!$B$26,Assumptions!$B$24+Assumptions!$B$25*('Historical FY16-FY25'!J86-Assumptions!$B$20)))</f>
        <v>4.698290211616829E-2</v>
      </c>
      <c r="E86" s="18">
        <f>$C86*(1+$D86)^(E$4-2025)</f>
        <v>15751899.641653836</v>
      </c>
      <c r="F86" s="18">
        <f>$C86*(1+$D86)^(F$4-2025)</f>
        <v>16491969.600661363</v>
      </c>
      <c r="G86" s="18">
        <f>$C86*(1+$D86)^(G$4-2025)</f>
        <v>17266810.194112059</v>
      </c>
      <c r="H86" s="18">
        <f>$C86*(1+$D86)^(H$4-2025)</f>
        <v>18078055.047320485</v>
      </c>
      <c r="I86" s="18">
        <f>$C86*(1+$D86)^(I$4-2025)</f>
        <v>18927414.538059443</v>
      </c>
      <c r="J86" s="18">
        <f>$C86*(1+$D86)^(J$4-2025)</f>
        <v>19816679.402613234</v>
      </c>
      <c r="K86" s="18">
        <f>$C86*(1+$D86)^(K$4-2025)</f>
        <v>20747724.511253696</v>
      </c>
      <c r="L86" s="18">
        <f>$C86*(1+$D86)^(L$4-2025)</f>
        <v>21722512.821099155</v>
      </c>
      <c r="M86" s="18">
        <f>$C86*(1+$D86)^(M$4-2025)</f>
        <v>22743099.514690068</v>
      </c>
      <c r="N86" s="18">
        <f>$C86*(1+$D86)^(N$4-2025)</f>
        <v>23811636.333007026</v>
      </c>
      <c r="O86" s="18">
        <f>$C86*(1+$D86)^(O$4-2025)</f>
        <v>24930376.112066489</v>
      </c>
      <c r="P86" s="18">
        <f>$C86*(1+$D86)^(P$4-2025)</f>
        <v>26101677.532658972</v>
      </c>
      <c r="Q86" s="18">
        <f>$C86*(1+$D86)^(Q$4-2025)</f>
        <v>27328010.093243673</v>
      </c>
      <c r="R86" s="18">
        <f>$C86*(1+$D86)^(R$4-2025)</f>
        <v>28611959.316484202</v>
      </c>
      <c r="S86" s="18">
        <f>$C86*(1+$D86)^(S$4-2025)</f>
        <v>29956232.200402368</v>
      </c>
      <c r="T86" s="18">
        <f>$C86*(1+$D86)^(T$4-2025)</f>
        <v>31363662.925643083</v>
      </c>
      <c r="U86" s="18">
        <f>$C86*(1+$D86)^(U$4-2025)</f>
        <v>32837218.830883067</v>
      </c>
      <c r="V86" s="18">
        <f>$C86*(1+$D86)^(V$4-2025)</f>
        <v>34380006.668981642</v>
      </c>
      <c r="W86" s="18">
        <f>$C86*(1+$D86)^(W$4-2025)</f>
        <v>35995279.157063626</v>
      </c>
      <c r="X86" s="18">
        <f>$C86*(1+$D86)^(X$4-2025)</f>
        <v>37686441.834344096</v>
      </c>
    </row>
    <row r="87" spans="1:24">
      <c r="A87" s="22" t="str">
        <f>'Historical FY16-FY25'!A87</f>
        <v>Smyth County</v>
      </c>
      <c r="B87" s="22" t="str">
        <f>'Historical FY16-FY25'!B87</f>
        <v>County</v>
      </c>
      <c r="C87" s="23">
        <f>'Historical FY16-FY25'!H87</f>
        <v>8461044</v>
      </c>
      <c r="D87" s="10">
        <f>MIN(Assumptions!$B$27,MAX(Assumptions!$B$26,Assumptions!$B$24+Assumptions!$B$25*('Historical FY16-FY25'!J87-Assumptions!$B$20)))</f>
        <v>3.6747515903891581E-2</v>
      </c>
      <c r="E87" s="15">
        <f>$C87*(1+$D87)^(E$4-2025)</f>
        <v>8771966.3489535265</v>
      </c>
      <c r="F87" s="15">
        <f>$C87*(1+$D87)^(F$4-2025)</f>
        <v>9094314.3218700998</v>
      </c>
      <c r="G87" s="15">
        <f>$C87*(1+$D87)^(G$4-2025)</f>
        <v>9428507.7820480112</v>
      </c>
      <c r="H87" s="15">
        <f>$C87*(1+$D87)^(H$4-2025)</f>
        <v>9774982.0217187852</v>
      </c>
      <c r="I87" s="15">
        <f>$C87*(1+$D87)^(I$4-2025)</f>
        <v>10134188.32902215</v>
      </c>
      <c r="J87" s="15">
        <f>$C87*(1+$D87)^(J$4-2025)</f>
        <v>10506594.575815927</v>
      </c>
      <c r="K87" s="15">
        <f>$C87*(1+$D87)^(K$4-2025)</f>
        <v>10892685.827086465</v>
      </c>
      <c r="L87" s="15">
        <f>$C87*(1+$D87)^(L$4-2025)</f>
        <v>11292964.972753419</v>
      </c>
      <c r="M87" s="15">
        <f>$C87*(1+$D87)^(M$4-2025)</f>
        <v>11707953.382691767</v>
      </c>
      <c r="N87" s="15">
        <f>$C87*(1+$D87)^(N$4-2025)</f>
        <v>12138191.585824253</v>
      </c>
      <c r="O87" s="15">
        <f>$C87*(1+$D87)^(O$4-2025)</f>
        <v>12584239.974168817</v>
      </c>
      <c r="P87" s="15">
        <f>$C87*(1+$D87)^(P$4-2025)</f>
        <v>13046679.532757971</v>
      </c>
      <c r="Q87" s="15">
        <f>$C87*(1+$D87)^(Q$4-2025)</f>
        <v>13526112.596380973</v>
      </c>
      <c r="R87" s="15">
        <f>$C87*(1+$D87)^(R$4-2025)</f>
        <v>14023163.634134313</v>
      </c>
      <c r="S87" s="15">
        <f>$C87*(1+$D87)^(S$4-2025)</f>
        <v>14538480.062802542</v>
      </c>
      <c r="T87" s="15">
        <f>$C87*(1+$D87)^(T$4-2025)</f>
        <v>15072733.090128785</v>
      </c>
      <c r="U87" s="15">
        <f>$C87*(1+$D87)^(U$4-2025)</f>
        <v>15626618.589073408</v>
      </c>
      <c r="V87" s="15">
        <f>$C87*(1+$D87)^(V$4-2025)</f>
        <v>16200858.00419943</v>
      </c>
      <c r="W87" s="15">
        <f>$C87*(1+$D87)^(W$4-2025)</f>
        <v>16796199.291365441</v>
      </c>
      <c r="X87" s="15">
        <f>$C87*(1+$D87)^(X$4-2025)</f>
        <v>17413417.891949825</v>
      </c>
    </row>
    <row r="88" spans="1:24">
      <c r="A88" s="24" t="str">
        <f>'Historical FY16-FY25'!A88</f>
        <v>Southampton County</v>
      </c>
      <c r="B88" s="24" t="str">
        <f>'Historical FY16-FY25'!B88</f>
        <v>County</v>
      </c>
      <c r="C88" s="25">
        <f>'Historical FY16-FY25'!H88</f>
        <v>4217513</v>
      </c>
      <c r="D88" s="19">
        <f>MIN(Assumptions!$B$27,MAX(Assumptions!$B$26,Assumptions!$B$24+Assumptions!$B$25*('Historical FY16-FY25'!J88-Assumptions!$B$20)))</f>
        <v>4.2060794332015705E-2</v>
      </c>
      <c r="E88" s="18">
        <f>$C88*(1+$D88)^(E$4-2025)</f>
        <v>4394904.9468856025</v>
      </c>
      <c r="F88" s="18">
        <f>$C88*(1+$D88)^(F$4-2025)</f>
        <v>4579758.1399653163</v>
      </c>
      <c r="G88" s="18">
        <f>$C88*(1+$D88)^(G$4-2025)</f>
        <v>4772386.4051807718</v>
      </c>
      <c r="H88" s="18">
        <f>$C88*(1+$D88)^(H$4-2025)</f>
        <v>4973116.7682419885</v>
      </c>
      <c r="I88" s="18">
        <f>$C88*(1+$D88)^(I$4-2025)</f>
        <v>5182290.0098201139</v>
      </c>
      <c r="J88" s="18">
        <f>$C88*(1+$D88)^(J$4-2025)</f>
        <v>5400261.2440920165</v>
      </c>
      <c r="K88" s="18">
        <f>$C88*(1+$D88)^(K$4-2025)</f>
        <v>5627400.521618926</v>
      </c>
      <c r="L88" s="18">
        <f>$C88*(1+$D88)^(L$4-2025)</f>
        <v>5864093.4575826181</v>
      </c>
      <c r="M88" s="18">
        <f>$C88*(1+$D88)^(M$4-2025)</f>
        <v>6110741.8864457188</v>
      </c>
      <c r="N88" s="18">
        <f>$C88*(1+$D88)^(N$4-2025)</f>
        <v>6367764.5441475455</v>
      </c>
      <c r="O88" s="18">
        <f>$C88*(1+$D88)^(O$4-2025)</f>
        <v>6635597.7789936373</v>
      </c>
      <c r="P88" s="18">
        <f>$C88*(1+$D88)^(P$4-2025)</f>
        <v>6914696.2924458692</v>
      </c>
      <c r="Q88" s="18">
        <f>$C88*(1+$D88)^(Q$4-2025)</f>
        <v>7205533.9110707864</v>
      </c>
      <c r="R88" s="18">
        <f>$C88*(1+$D88)^(R$4-2025)</f>
        <v>7508604.3909566989</v>
      </c>
      <c r="S88" s="18">
        <f>$C88*(1+$D88)^(S$4-2025)</f>
        <v>7824422.2559651984</v>
      </c>
      <c r="T88" s="18">
        <f>$C88*(1+$D88)^(T$4-2025)</f>
        <v>8153523.6712401975</v>
      </c>
      <c r="U88" s="18">
        <f>$C88*(1+$D88)^(U$4-2025)</f>
        <v>8496467.3534574546</v>
      </c>
      <c r="V88" s="18">
        <f>$C88*(1+$D88)^(V$4-2025)</f>
        <v>8853835.5193599127</v>
      </c>
      <c r="W88" s="18">
        <f>$C88*(1+$D88)^(W$4-2025)</f>
        <v>9226234.8741892055</v>
      </c>
      <c r="X88" s="18">
        <f>$C88*(1+$D88)^(X$4-2025)</f>
        <v>9614297.6416913494</v>
      </c>
    </row>
    <row r="89" spans="1:24">
      <c r="A89" s="22" t="str">
        <f>'Historical FY16-FY25'!A89</f>
        <v>Spotsylvania County</v>
      </c>
      <c r="B89" s="22" t="str">
        <f>'Historical FY16-FY25'!B89</f>
        <v>County</v>
      </c>
      <c r="C89" s="23">
        <f>'Historical FY16-FY25'!H89</f>
        <v>61373370</v>
      </c>
      <c r="D89" s="10">
        <f>MIN(Assumptions!$B$27,MAX(Assumptions!$B$26,Assumptions!$B$24+Assumptions!$B$25*('Historical FY16-FY25'!J89-Assumptions!$B$20)))</f>
        <v>5.2140296042441969E-2</v>
      </c>
      <c r="E89" s="15">
        <f>$C89*(1+$D89)^(E$4-2025)</f>
        <v>64573395.680922329</v>
      </c>
      <c r="F89" s="15">
        <f>$C89*(1+$D89)^(F$4-2025)</f>
        <v>67940271.648191363</v>
      </c>
      <c r="G89" s="15">
        <f>$C89*(1+$D89)^(G$4-2025)</f>
        <v>71482697.525131971</v>
      </c>
      <c r="H89" s="15">
        <f>$C89*(1+$D89)^(H$4-2025)</f>
        <v>75209826.536004692</v>
      </c>
      <c r="I89" s="15">
        <f>$C89*(1+$D89)^(I$4-2025)</f>
        <v>79131289.156892687</v>
      </c>
      <c r="J89" s="15">
        <f>$C89*(1+$D89)^(J$4-2025)</f>
        <v>83257217.999753147</v>
      </c>
      <c r="K89" s="15">
        <f>$C89*(1+$D89)^(K$4-2025)</f>
        <v>87598273.993930399</v>
      </c>
      <c r="L89" s="15">
        <f>$C89*(1+$D89)^(L$4-2025)</f>
        <v>92165673.932780877</v>
      </c>
      <c r="M89" s="15">
        <f>$C89*(1+$D89)^(M$4-2025)</f>
        <v>96971219.456587255</v>
      </c>
      <c r="N89" s="15">
        <f>$C89*(1+$D89)^(N$4-2025)</f>
        <v>102027327.54665032</v>
      </c>
      <c r="O89" s="15">
        <f>$C89*(1+$D89)^(O$4-2025)</f>
        <v>107347062.60935184</v>
      </c>
      <c r="P89" s="15">
        <f>$C89*(1+$D89)^(P$4-2025)</f>
        <v>112944170.23309001</v>
      </c>
      <c r="Q89" s="15">
        <f>$C89*(1+$D89)^(Q$4-2025)</f>
        <v>118833112.7053113</v>
      </c>
      <c r="R89" s="15">
        <f>$C89*(1+$D89)^(R$4-2025)</f>
        <v>125029106.38141109</v>
      </c>
      <c r="S89" s="15">
        <f>$C89*(1+$D89)^(S$4-2025)</f>
        <v>131548161.00205983</v>
      </c>
      <c r="T89" s="15">
        <f>$C89*(1+$D89)^(T$4-2025)</f>
        <v>138407121.06054607</v>
      </c>
      <c r="U89" s="15">
        <f>$C89*(1+$D89)^(U$4-2025)</f>
        <v>145623709.32702503</v>
      </c>
      <c r="V89" s="15">
        <f>$C89*(1+$D89)^(V$4-2025)</f>
        <v>153216572.64213464</v>
      </c>
      <c r="W89" s="15">
        <f>$C89*(1+$D89)^(W$4-2025)</f>
        <v>161205330.09830385</v>
      </c>
      <c r="X89" s="15">
        <f>$C89*(1+$D89)^(X$4-2025)</f>
        <v>169610623.73324898</v>
      </c>
    </row>
    <row r="90" spans="1:24">
      <c r="A90" s="24" t="str">
        <f>'Historical FY16-FY25'!A90</f>
        <v>Stafford County</v>
      </c>
      <c r="B90" s="24" t="str">
        <f>'Historical FY16-FY25'!B90</f>
        <v>County</v>
      </c>
      <c r="C90" s="25">
        <f>'Historical FY16-FY25'!H90</f>
        <v>61330508</v>
      </c>
      <c r="D90" s="19">
        <f>MIN(Assumptions!$B$27,MAX(Assumptions!$B$26,Assumptions!$B$24+Assumptions!$B$25*('Historical FY16-FY25'!J90-Assumptions!$B$20)))</f>
        <v>5.2641753685491732E-2</v>
      </c>
      <c r="E90" s="18">
        <f>$C90*(1+$D90)^(E$4-2025)</f>
        <v>64559053.495542079</v>
      </c>
      <c r="F90" s="18">
        <f>$C90*(1+$D90)^(F$4-2025)</f>
        <v>67957555.287822887</v>
      </c>
      <c r="G90" s="18">
        <f>$C90*(1+$D90)^(G$4-2025)</f>
        <v>71534960.174352646</v>
      </c>
      <c r="H90" s="18">
        <f>$C90*(1+$D90)^(H$4-2025)</f>
        <v>75300685.927752391</v>
      </c>
      <c r="I90" s="18">
        <f>$C90*(1+$D90)^(I$4-2025)</f>
        <v>79264646.088709697</v>
      </c>
      <c r="J90" s="18">
        <f>$C90*(1+$D90)^(J$4-2025)</f>
        <v>83437276.06407924</v>
      </c>
      <c r="K90" s="18">
        <f>$C90*(1+$D90)^(K$4-2025)</f>
        <v>87829560.598832861</v>
      </c>
      <c r="L90" s="18">
        <f>$C90*(1+$D90)^(L$4-2025)</f>
        <v>92453062.694181606</v>
      </c>
      <c r="M90" s="18">
        <f>$C90*(1+$D90)^(M$4-2025)</f>
        <v>97319954.047998026</v>
      </c>
      <c r="N90" s="18">
        <f>$C90*(1+$D90)^(N$4-2025)</f>
        <v>102443047.09767613</v>
      </c>
      <c r="O90" s="18">
        <f>$C90*(1+$D90)^(O$4-2025)</f>
        <v>107835828.7497832</v>
      </c>
      <c r="P90" s="18">
        <f>$C90*(1+$D90)^(P$4-2025)</f>
        <v>113512495.88530017</v>
      </c>
      <c r="Q90" s="18">
        <f>$C90*(1+$D90)^(Q$4-2025)</f>
        <v>119487992.73391955</v>
      </c>
      <c r="R90" s="18">
        <f>$C90*(1+$D90)^(R$4-2025)</f>
        <v>125778050.21579236</v>
      </c>
      <c r="S90" s="18">
        <f>$C90*(1+$D90)^(S$4-2025)</f>
        <v>132399227.35429351</v>
      </c>
      <c r="T90" s="18">
        <f>$C90*(1+$D90)^(T$4-2025)</f>
        <v>139368954.86882767</v>
      </c>
      <c r="U90" s="18">
        <f>$C90*(1+$D90)^(U$4-2025)</f>
        <v>146705581.06243691</v>
      </c>
      <c r="V90" s="18">
        <f>$C90*(1+$D90)^(V$4-2025)</f>
        <v>154428420.12501267</v>
      </c>
      <c r="W90" s="18">
        <f>$C90*(1+$D90)^(W$4-2025)</f>
        <v>162557802.9792732</v>
      </c>
      <c r="X90" s="18">
        <f>$C90*(1+$D90)^(X$4-2025)</f>
        <v>171115130.80336282</v>
      </c>
    </row>
    <row r="91" spans="1:24">
      <c r="A91" s="22" t="str">
        <f>'Historical FY16-FY25'!A91</f>
        <v>Surry County</v>
      </c>
      <c r="B91" s="22" t="str">
        <f>'Historical FY16-FY25'!B91</f>
        <v>County</v>
      </c>
      <c r="C91" s="23">
        <f>'Historical FY16-FY25'!H91</f>
        <v>2897851</v>
      </c>
      <c r="D91" s="10">
        <f>MIN(Assumptions!$B$27,MAX(Assumptions!$B$26,Assumptions!$B$24+Assumptions!$B$25*('Historical FY16-FY25'!J91-Assumptions!$B$20)))</f>
        <v>0.08</v>
      </c>
      <c r="E91" s="15">
        <f>$C91*(1+$D91)^(E$4-2025)</f>
        <v>3129679.08</v>
      </c>
      <c r="F91" s="15">
        <f>$C91*(1+$D91)^(F$4-2025)</f>
        <v>3380053.4064000002</v>
      </c>
      <c r="G91" s="15">
        <f>$C91*(1+$D91)^(G$4-2025)</f>
        <v>3650457.6789120003</v>
      </c>
      <c r="H91" s="15">
        <f>$C91*(1+$D91)^(H$4-2025)</f>
        <v>3942494.293224961</v>
      </c>
      <c r="I91" s="15">
        <f>$C91*(1+$D91)^(I$4-2025)</f>
        <v>4257893.8366829576</v>
      </c>
      <c r="J91" s="15">
        <f>$C91*(1+$D91)^(J$4-2025)</f>
        <v>4598525.3436175948</v>
      </c>
      <c r="K91" s="15">
        <f>$C91*(1+$D91)^(K$4-2025)</f>
        <v>4966407.3711070027</v>
      </c>
      <c r="L91" s="15">
        <f>$C91*(1+$D91)^(L$4-2025)</f>
        <v>5363719.9607955627</v>
      </c>
      <c r="M91" s="15">
        <f>$C91*(1+$D91)^(M$4-2025)</f>
        <v>5792817.5576592088</v>
      </c>
      <c r="N91" s="15">
        <f>$C91*(1+$D91)^(N$4-2025)</f>
        <v>6256242.9622719456</v>
      </c>
      <c r="O91" s="15">
        <f>$C91*(1+$D91)^(O$4-2025)</f>
        <v>6756742.3992537009</v>
      </c>
      <c r="P91" s="15">
        <f>$C91*(1+$D91)^(P$4-2025)</f>
        <v>7297281.7911939975</v>
      </c>
      <c r="Q91" s="15">
        <f>$C91*(1+$D91)^(Q$4-2025)</f>
        <v>7881064.3344895169</v>
      </c>
      <c r="R91" s="15">
        <f>$C91*(1+$D91)^(R$4-2025)</f>
        <v>8511549.4812486805</v>
      </c>
      <c r="S91" s="15">
        <f>$C91*(1+$D91)^(S$4-2025)</f>
        <v>9192473.4397485759</v>
      </c>
      <c r="T91" s="15">
        <f>$C91*(1+$D91)^(T$4-2025)</f>
        <v>9927871.3149284609</v>
      </c>
      <c r="U91" s="15">
        <f>$C91*(1+$D91)^(U$4-2025)</f>
        <v>10722101.020122739</v>
      </c>
      <c r="V91" s="15">
        <f>$C91*(1+$D91)^(V$4-2025)</f>
        <v>11579869.101732558</v>
      </c>
      <c r="W91" s="15">
        <f>$C91*(1+$D91)^(W$4-2025)</f>
        <v>12506258.629871164</v>
      </c>
      <c r="X91" s="15">
        <f>$C91*(1+$D91)^(X$4-2025)</f>
        <v>13506759.320260856</v>
      </c>
    </row>
    <row r="92" spans="1:24">
      <c r="A92" s="24" t="str">
        <f>'Historical FY16-FY25'!A92</f>
        <v>Sussex County</v>
      </c>
      <c r="B92" s="24" t="str">
        <f>'Historical FY16-FY25'!B92</f>
        <v>County</v>
      </c>
      <c r="C92" s="25">
        <f>'Historical FY16-FY25'!H92</f>
        <v>2878350</v>
      </c>
      <c r="D92" s="19">
        <f>MIN(Assumptions!$B$27,MAX(Assumptions!$B$26,Assumptions!$B$24+Assumptions!$B$25*('Historical FY16-FY25'!J92-Assumptions!$B$20)))</f>
        <v>3.7286897285136122E-2</v>
      </c>
      <c r="E92" s="18">
        <f>$C92*(1+$D92)^(E$4-2025)</f>
        <v>2985674.7408006717</v>
      </c>
      <c r="F92" s="18">
        <f>$C92*(1+$D92)^(F$4-2025)</f>
        <v>3097001.288187732</v>
      </c>
      <c r="G92" s="18">
        <f>$C92*(1+$D92)^(G$4-2025)</f>
        <v>3212478.857112322</v>
      </c>
      <c r="H92" s="18">
        <f>$C92*(1+$D92)^(H$4-2025)</f>
        <v>3332262.2262881408</v>
      </c>
      <c r="I92" s="18">
        <f>$C92*(1+$D92)^(I$4-2025)</f>
        <v>3456511.9456468853</v>
      </c>
      <c r="J92" s="18">
        <f>$C92*(1+$D92)^(J$4-2025)</f>
        <v>3585394.5515290676</v>
      </c>
      <c r="K92" s="18">
        <f>$C92*(1+$D92)^(K$4-2025)</f>
        <v>3719082.7898986181</v>
      </c>
      <c r="L92" s="18">
        <f>$C92*(1+$D92)^(L$4-2025)</f>
        <v>3857755.8478804859</v>
      </c>
      <c r="M92" s="18">
        <f>$C92*(1+$D92)^(M$4-2025)</f>
        <v>4001599.5939315381</v>
      </c>
      <c r="N92" s="18">
        <f>$C92*(1+$D92)^(N$4-2025)</f>
        <v>4150806.8269667062</v>
      </c>
      <c r="O92" s="18">
        <f>$C92*(1+$D92)^(O$4-2025)</f>
        <v>4305577.5347742559</v>
      </c>
      <c r="P92" s="18">
        <f>$C92*(1+$D92)^(P$4-2025)</f>
        <v>4466119.1620665733</v>
      </c>
      <c r="Q92" s="18">
        <f>$C92*(1+$D92)^(Q$4-2025)</f>
        <v>4632646.8885257272</v>
      </c>
      <c r="R92" s="18">
        <f>$C92*(1+$D92)^(R$4-2025)</f>
        <v>4805383.9172164928</v>
      </c>
      <c r="S92" s="18">
        <f>$C92*(1+$D92)^(S$4-2025)</f>
        <v>4984561.7737533888</v>
      </c>
      <c r="T92" s="18">
        <f>$C92*(1+$D92)^(T$4-2025)</f>
        <v>5170420.6166227479</v>
      </c>
      <c r="U92" s="18">
        <f>$C92*(1+$D92)^(U$4-2025)</f>
        <v>5363209.5590757104</v>
      </c>
      <c r="V92" s="18">
        <f>$C92*(1+$D92)^(V$4-2025)</f>
        <v>5563187.0030236272</v>
      </c>
      <c r="W92" s="18">
        <f>$C92*(1+$D92)^(W$4-2025)</f>
        <v>5770620.9853833728</v>
      </c>
      <c r="X92" s="18">
        <f>$C92*(1+$D92)^(X$4-2025)</f>
        <v>5985789.5373368133</v>
      </c>
    </row>
    <row r="93" spans="1:24">
      <c r="A93" s="22" t="str">
        <f>'Historical FY16-FY25'!A93</f>
        <v>Tazewell County</v>
      </c>
      <c r="B93" s="22" t="str">
        <f>'Historical FY16-FY25'!B93</f>
        <v>County</v>
      </c>
      <c r="C93" s="23">
        <f>'Historical FY16-FY25'!H93</f>
        <v>14467284</v>
      </c>
      <c r="D93" s="10">
        <f>MIN(Assumptions!$B$27,MAX(Assumptions!$B$26,Assumptions!$B$24+Assumptions!$B$25*('Historical FY16-FY25'!J93-Assumptions!$B$20)))</f>
        <v>3.6661513592336159E-2</v>
      </c>
      <c r="E93" s="15">
        <f>$C93*(1+$D93)^(E$4-2025)</f>
        <v>14997676.52901019</v>
      </c>
      <c r="F93" s="15">
        <f>$C93*(1+$D93)^(F$4-2025)</f>
        <v>15547514.050931958</v>
      </c>
      <c r="G93" s="15">
        <f>$C93*(1+$D93)^(G$4-2025)</f>
        <v>16117509.448637241</v>
      </c>
      <c r="H93" s="15">
        <f>$C93*(1+$D93)^(H$4-2025)</f>
        <v>16708401.740363063</v>
      </c>
      <c r="I93" s="15">
        <f>$C93*(1+$D93)^(I$4-2025)</f>
        <v>17320957.037873596</v>
      </c>
      <c r="J93" s="15">
        <f>$C93*(1+$D93)^(J$4-2025)</f>
        <v>17955969.539749872</v>
      </c>
      <c r="K93" s="15">
        <f>$C93*(1+$D93)^(K$4-2025)</f>
        <v>18614262.561094992</v>
      </c>
      <c r="L93" s="15">
        <f>$C93*(1+$D93)^(L$4-2025)</f>
        <v>19296689.600989893</v>
      </c>
      <c r="M93" s="15">
        <f>$C93*(1+$D93)^(M$4-2025)</f>
        <v>20004135.449083678</v>
      </c>
      <c r="N93" s="15">
        <f>$C93*(1+$D93)^(N$4-2025)</f>
        <v>20737517.332753193</v>
      </c>
      <c r="O93" s="15">
        <f>$C93*(1+$D93)^(O$4-2025)</f>
        <v>21497786.106319234</v>
      </c>
      <c r="P93" s="15">
        <f>$C93*(1+$D93)^(P$4-2025)</f>
        <v>22285927.483861193</v>
      </c>
      <c r="Q93" s="15">
        <f>$C93*(1+$D93)^(Q$4-2025)</f>
        <v>23102963.317228589</v>
      </c>
      <c r="R93" s="15">
        <f>$C93*(1+$D93)^(R$4-2025)</f>
        <v>23949952.920906413</v>
      </c>
      <c r="S93" s="15">
        <f>$C93*(1+$D93)^(S$4-2025)</f>
        <v>24827994.445452038</v>
      </c>
      <c r="T93" s="15">
        <f>$C93*(1+$D93)^(T$4-2025)</f>
        <v>25738226.301284429</v>
      </c>
      <c r="U93" s="15">
        <f>$C93*(1+$D93)^(U$4-2025)</f>
        <v>26681828.634671599</v>
      </c>
      <c r="V93" s="15">
        <f>$C93*(1+$D93)^(V$4-2025)</f>
        <v>27660024.857829999</v>
      </c>
      <c r="W93" s="15">
        <f>$C93*(1+$D93)^(W$4-2025)</f>
        <v>28674083.235119689</v>
      </c>
      <c r="X93" s="15">
        <f>$C93*(1+$D93)^(X$4-2025)</f>
        <v>29725318.527391814</v>
      </c>
    </row>
    <row r="94" spans="1:24">
      <c r="A94" s="24" t="str">
        <f>'Historical FY16-FY25'!A94</f>
        <v>Warren County</v>
      </c>
      <c r="B94" s="24" t="str">
        <f>'Historical FY16-FY25'!B94</f>
        <v>County</v>
      </c>
      <c r="C94" s="25">
        <f>'Historical FY16-FY25'!H94</f>
        <v>15089269</v>
      </c>
      <c r="D94" s="19">
        <f>MIN(Assumptions!$B$27,MAX(Assumptions!$B$26,Assumptions!$B$24+Assumptions!$B$25*('Historical FY16-FY25'!J94-Assumptions!$B$20)))</f>
        <v>4.780982947903456E-2</v>
      </c>
      <c r="E94" s="18">
        <f>$C94*(1+$D94)^(E$4-2025)</f>
        <v>15810684.377853282</v>
      </c>
      <c r="F94" s="18">
        <f>$C94*(1+$D94)^(F$4-2025)</f>
        <v>16566590.501905283</v>
      </c>
      <c r="G94" s="18">
        <f>$C94*(1+$D94)^(G$4-2025)</f>
        <v>17358636.368850369</v>
      </c>
      <c r="H94" s="18">
        <f>$C94*(1+$D94)^(H$4-2025)</f>
        <v>18188549.813633673</v>
      </c>
      <c r="I94" s="18">
        <f>$C94*(1+$D94)^(I$4-2025)</f>
        <v>19058141.278694425</v>
      </c>
      <c r="J94" s="18">
        <f>$C94*(1+$D94)^(J$4-2025)</f>
        <v>19969307.763416156</v>
      </c>
      <c r="K94" s="18">
        <f>$C94*(1+$D94)^(K$4-2025)</f>
        <v>20924036.962399445</v>
      </c>
      <c r="L94" s="18">
        <f>$C94*(1+$D94)^(L$4-2025)</f>
        <v>21924411.601584777</v>
      </c>
      <c r="M94" s="18">
        <f>$C94*(1+$D94)^(M$4-2025)</f>
        <v>22972613.981684715</v>
      </c>
      <c r="N94" s="18">
        <f>$C94*(1+$D94)^(N$4-2025)</f>
        <v>24070930.738836743</v>
      </c>
      <c r="O94" s="18">
        <f>$C94*(1+$D94)^(O$4-2025)</f>
        <v>25221757.83286218</v>
      </c>
      <c r="P94" s="18">
        <f>$C94*(1+$D94)^(P$4-2025)</f>
        <v>26427605.774012826</v>
      </c>
      <c r="Q94" s="18">
        <f>$C94*(1+$D94)^(Q$4-2025)</f>
        <v>27691105.099607527</v>
      </c>
      <c r="R94" s="18">
        <f>$C94*(1+$D94)^(R$4-2025)</f>
        <v>29015012.11250579</v>
      </c>
      <c r="S94" s="18">
        <f>$C94*(1+$D94)^(S$4-2025)</f>
        <v>30402214.89393682</v>
      </c>
      <c r="T94" s="18">
        <f>$C94*(1+$D94)^(T$4-2025)</f>
        <v>31855739.603800897</v>
      </c>
      <c r="U94" s="18">
        <f>$C94*(1+$D94)^(U$4-2025)</f>
        <v>33378757.082187142</v>
      </c>
      <c r="V94" s="18">
        <f>$C94*(1+$D94)^(V$4-2025)</f>
        <v>34974589.766508624</v>
      </c>
      <c r="W94" s="18">
        <f>$C94*(1+$D94)^(W$4-2025)</f>
        <v>36646718.939344592</v>
      </c>
      <c r="X94" s="18">
        <f>$C94*(1+$D94)^(X$4-2025)</f>
        <v>38398792.32280077</v>
      </c>
    </row>
    <row r="95" spans="1:24">
      <c r="A95" s="22" t="str">
        <f>'Historical FY16-FY25'!A95</f>
        <v>Washington County</v>
      </c>
      <c r="B95" s="22" t="str">
        <f>'Historical FY16-FY25'!B95</f>
        <v>County</v>
      </c>
      <c r="C95" s="23">
        <f>'Historical FY16-FY25'!H95</f>
        <v>19997675</v>
      </c>
      <c r="D95" s="10">
        <f>MIN(Assumptions!$B$27,MAX(Assumptions!$B$26,Assumptions!$B$24+Assumptions!$B$25*('Historical FY16-FY25'!J95-Assumptions!$B$20)))</f>
        <v>4.595200621690998E-2</v>
      </c>
      <c r="E95" s="15">
        <f>$C95*(1+$D95)^(E$4-2025)</f>
        <v>20916608.285923742</v>
      </c>
      <c r="F95" s="15">
        <f>$C95*(1+$D95)^(F$4-2025)</f>
        <v>21877768.399915181</v>
      </c>
      <c r="G95" s="15">
        <f>$C95*(1+$D95)^(G$4-2025)</f>
        <v>22883095.749440197</v>
      </c>
      <c r="H95" s="15">
        <f>$C95*(1+$D95)^(H$4-2025)</f>
        <v>23934619.907580614</v>
      </c>
      <c r="I95" s="15">
        <f>$C95*(1+$D95)^(I$4-2025)</f>
        <v>25034463.710373133</v>
      </c>
      <c r="J95" s="15">
        <f>$C95*(1+$D95)^(J$4-2025)</f>
        <v>26184847.542429205</v>
      </c>
      <c r="K95" s="15">
        <f>$C95*(1+$D95)^(K$4-2025)</f>
        <v>27388093.819487751</v>
      </c>
      <c r="L95" s="15">
        <f>$C95*(1+$D95)^(L$4-2025)</f>
        <v>28646631.67695016</v>
      </c>
      <c r="M95" s="15">
        <f>$C95*(1+$D95)^(M$4-2025)</f>
        <v>29963001.873862904</v>
      </c>
      <c r="N95" s="15">
        <f>$C95*(1+$D95)^(N$4-2025)</f>
        <v>31339861.922247935</v>
      </c>
      <c r="O95" s="15">
        <f>$C95*(1+$D95)^(O$4-2025)</f>
        <v>32779991.45213617</v>
      </c>
      <c r="P95" s="15">
        <f>$C95*(1+$D95)^(P$4-2025)</f>
        <v>34286297.823134981</v>
      </c>
      <c r="Q95" s="15">
        <f>$C95*(1+$D95)^(Q$4-2025)</f>
        <v>35861821.993858501</v>
      </c>
      <c r="R95" s="15">
        <f>$C95*(1+$D95)^(R$4-2025)</f>
        <v>37509744.661069997</v>
      </c>
      <c r="S95" s="15">
        <f>$C95*(1+$D95)^(S$4-2025)</f>
        <v>39233392.680930197</v>
      </c>
      <c r="T95" s="15">
        <f>$C95*(1+$D95)^(T$4-2025)</f>
        <v>41036245.785314769</v>
      </c>
      <c r="U95" s="15">
        <f>$C95*(1+$D95)^(U$4-2025)</f>
        <v>42921943.606760189</v>
      </c>
      <c r="V95" s="15">
        <f>$C95*(1+$D95)^(V$4-2025)</f>
        <v>44894293.02621989</v>
      </c>
      <c r="W95" s="15">
        <f>$C95*(1+$D95)^(W$4-2025)</f>
        <v>46957275.858464524</v>
      </c>
      <c r="X95" s="15">
        <f>$C95*(1+$D95)^(X$4-2025)</f>
        <v>49115056.890641831</v>
      </c>
    </row>
    <row r="96" spans="1:24">
      <c r="A96" s="24" t="str">
        <f>'Historical FY16-FY25'!A96</f>
        <v>Westmoreland County</v>
      </c>
      <c r="B96" s="24" t="str">
        <f>'Historical FY16-FY25'!B96</f>
        <v>County</v>
      </c>
      <c r="C96" s="25">
        <f>'Historical FY16-FY25'!H96</f>
        <v>4781706</v>
      </c>
      <c r="D96" s="19">
        <f>MIN(Assumptions!$B$27,MAX(Assumptions!$B$26,Assumptions!$B$24+Assumptions!$B$25*('Historical FY16-FY25'!J96-Assumptions!$B$20)))</f>
        <v>5.1142790622933476E-2</v>
      </c>
      <c r="E96" s="18">
        <f>$C96*(1+$D96)^(E$4-2025)</f>
        <v>5026255.7887784243</v>
      </c>
      <c r="F96" s="18">
        <f>$C96*(1+$D96)^(F$4-2025)</f>
        <v>5283312.5362012256</v>
      </c>
      <c r="G96" s="18">
        <f>$C96*(1+$D96)^(G$4-2025)</f>
        <v>5553515.883035684</v>
      </c>
      <c r="H96" s="18">
        <f>$C96*(1+$D96)^(H$4-2025)</f>
        <v>5837538.1830629138</v>
      </c>
      <c r="I96" s="18">
        <f>$C96*(1+$D96)^(I$4-2025)</f>
        <v>6136086.1761126788</v>
      </c>
      <c r="J96" s="18">
        <f>$C96*(1+$D96)^(J$4-2025)</f>
        <v>6449902.7466618856</v>
      </c>
      <c r="K96" s="18">
        <f>$C96*(1+$D96)^(K$4-2025)</f>
        <v>6779768.7723726965</v>
      </c>
      <c r="L96" s="18">
        <f>$C96*(1+$D96)^(L$4-2025)</f>
        <v>7126505.0671700565</v>
      </c>
      <c r="M96" s="18">
        <f>$C96*(1+$D96)^(M$4-2025)</f>
        <v>7490974.4236936076</v>
      </c>
      <c r="N96" s="18">
        <f>$C96*(1+$D96)^(N$4-2025)</f>
        <v>7874083.7602063194</v>
      </c>
      <c r="O96" s="18">
        <f>$C96*(1+$D96)^(O$4-2025)</f>
        <v>8276786.377301991</v>
      </c>
      <c r="P96" s="18">
        <f>$C96*(1+$D96)^(P$4-2025)</f>
        <v>8700084.3300270941</v>
      </c>
      <c r="Q96" s="18">
        <f>$C96*(1+$D96)^(Q$4-2025)</f>
        <v>9145030.9213195331</v>
      </c>
      <c r="R96" s="18">
        <f>$C96*(1+$D96)^(R$4-2025)</f>
        <v>9612733.3229688313</v>
      </c>
      <c r="S96" s="18">
        <f>$C96*(1+$D96)^(S$4-2025)</f>
        <v>10104355.330619518</v>
      </c>
      <c r="T96" s="18">
        <f>$C96*(1+$D96)^(T$4-2025)</f>
        <v>10621120.259673115</v>
      </c>
      <c r="U96" s="18">
        <f>$C96*(1+$D96)^(U$4-2025)</f>
        <v>11164313.989294572</v>
      </c>
      <c r="V96" s="18">
        <f>$C96*(1+$D96)^(V$4-2025)</f>
        <v>11735288.16209775</v>
      </c>
      <c r="W96" s="18">
        <f>$C96*(1+$D96)^(W$4-2025)</f>
        <v>12335463.547471704</v>
      </c>
      <c r="X96" s="18">
        <f>$C96*(1+$D96)^(X$4-2025)</f>
        <v>12966333.576916877</v>
      </c>
    </row>
    <row r="97" spans="1:24">
      <c r="A97" s="22" t="str">
        <f>'Historical FY16-FY25'!A97</f>
        <v>Wise County</v>
      </c>
      <c r="B97" s="22" t="str">
        <f>'Historical FY16-FY25'!B97</f>
        <v>County</v>
      </c>
      <c r="C97" s="23">
        <f>'Historical FY16-FY25'!H97</f>
        <v>10152930</v>
      </c>
      <c r="D97" s="10">
        <f>MIN(Assumptions!$B$27,MAX(Assumptions!$B$26,Assumptions!$B$24+Assumptions!$B$25*('Historical FY16-FY25'!J97-Assumptions!$B$20)))</f>
        <v>3.1074350160352093E-2</v>
      </c>
      <c r="E97" s="15">
        <f>$C97*(1+$D97)^(E$4-2025)</f>
        <v>10468425.701973544</v>
      </c>
      <c r="F97" s="15">
        <f>$C97*(1+$D97)^(F$4-2025)</f>
        <v>10793725.227864299</v>
      </c>
      <c r="G97" s="15">
        <f>$C97*(1+$D97)^(G$4-2025)</f>
        <v>11129133.22512958</v>
      </c>
      <c r="H97" s="15">
        <f>$C97*(1+$D97)^(H$4-2025)</f>
        <v>11474963.807948465</v>
      </c>
      <c r="I97" s="15">
        <f>$C97*(1+$D97)^(I$4-2025)</f>
        <v>11831540.851394022</v>
      </c>
      <c r="J97" s="15">
        <f>$C97*(1+$D97)^(J$4-2025)</f>
        <v>12199198.294746749</v>
      </c>
      <c r="K97" s="15">
        <f>$C97*(1+$D97)^(K$4-2025)</f>
        <v>12578280.454233281</v>
      </c>
      <c r="L97" s="15">
        <f>$C97*(1+$D97)^(L$4-2025)</f>
        <v>12969142.345483236</v>
      </c>
      <c r="M97" s="15">
        <f>$C97*(1+$D97)^(M$4-2025)</f>
        <v>13372150.016006233</v>
      </c>
      <c r="N97" s="15">
        <f>$C97*(1+$D97)^(N$4-2025)</f>
        <v>13787680.888000365</v>
      </c>
      <c r="O97" s="15">
        <f>$C97*(1+$D97)^(O$4-2025)</f>
        <v>14216124.111813284</v>
      </c>
      <c r="P97" s="15">
        <f>$C97*(1+$D97)^(P$4-2025)</f>
        <v>14657880.930386793</v>
      </c>
      <c r="Q97" s="15">
        <f>$C97*(1+$D97)^(Q$4-2025)</f>
        <v>15113365.05502638</v>
      </c>
      <c r="R97" s="15">
        <f>$C97*(1+$D97)^(R$4-2025)</f>
        <v>15583003.052847497</v>
      </c>
      <c r="S97" s="15">
        <f>$C97*(1+$D97)^(S$4-2025)</f>
        <v>16067234.746261517</v>
      </c>
      <c r="T97" s="15">
        <f>$C97*(1+$D97)^(T$4-2025)</f>
        <v>16566513.624875421</v>
      </c>
      <c r="U97" s="15">
        <f>$C97*(1+$D97)^(U$4-2025)</f>
        <v>17081307.270191044</v>
      </c>
      <c r="V97" s="15">
        <f>$C97*(1+$D97)^(V$4-2025)</f>
        <v>17612097.793501526</v>
      </c>
      <c r="W97" s="15">
        <f>$C97*(1+$D97)^(W$4-2025)</f>
        <v>18159382.287395157</v>
      </c>
      <c r="X97" s="15">
        <f>$C97*(1+$D97)^(X$4-2025)</f>
        <v>18723673.291289371</v>
      </c>
    </row>
    <row r="98" spans="1:24">
      <c r="A98" s="24" t="str">
        <f>'Historical FY16-FY25'!A98</f>
        <v>Wythe County</v>
      </c>
      <c r="B98" s="24" t="str">
        <f>'Historical FY16-FY25'!B98</f>
        <v>County</v>
      </c>
      <c r="C98" s="25">
        <f>'Historical FY16-FY25'!H98</f>
        <v>11489395</v>
      </c>
      <c r="D98" s="19">
        <f>MIN(Assumptions!$B$27,MAX(Assumptions!$B$26,Assumptions!$B$24+Assumptions!$B$25*('Historical FY16-FY25'!J98-Assumptions!$B$20)))</f>
        <v>4.3677901162493482E-2</v>
      </c>
      <c r="E98" s="18">
        <f>$C98*(1+$D98)^(E$4-2025)</f>
        <v>11991227.659226846</v>
      </c>
      <c r="F98" s="18">
        <f>$C98*(1+$D98)^(F$4-2025)</f>
        <v>12514979.315743515</v>
      </c>
      <c r="G98" s="18">
        <f>$C98*(1+$D98)^(G$4-2025)</f>
        <v>13061607.345347213</v>
      </c>
      <c r="H98" s="18">
        <f>$C98*(1+$D98)^(H$4-2025)</f>
        <v>13632110.940000586</v>
      </c>
      <c r="I98" s="18">
        <f>$C98*(1+$D98)^(I$4-2025)</f>
        <v>14227532.934274077</v>
      </c>
      <c r="J98" s="18">
        <f>$C98*(1+$D98)^(J$4-2025)</f>
        <v>14848961.711563421</v>
      </c>
      <c r="K98" s="18">
        <f>$C98*(1+$D98)^(K$4-2025)</f>
        <v>15497533.19356674</v>
      </c>
      <c r="L98" s="18">
        <f>$C98*(1+$D98)^(L$4-2025)</f>
        <v>16174432.916657811</v>
      </c>
      <c r="M98" s="18">
        <f>$C98*(1+$D98)^(M$4-2025)</f>
        <v>16880898.198950972</v>
      </c>
      <c r="N98" s="18">
        <f>$C98*(1+$D98)^(N$4-2025)</f>
        <v>17618220.402018867</v>
      </c>
      <c r="O98" s="18">
        <f>$C98*(1+$D98)^(O$4-2025)</f>
        <v>18387747.291397277</v>
      </c>
      <c r="P98" s="18">
        <f>$C98*(1+$D98)^(P$4-2025)</f>
        <v>19190885.500191834</v>
      </c>
      <c r="Q98" s="18">
        <f>$C98*(1+$D98)^(Q$4-2025)</f>
        <v>20029103.100289941</v>
      </c>
      <c r="R98" s="18">
        <f>$C98*(1+$D98)^(R$4-2025)</f>
        <v>20903932.285877794</v>
      </c>
      <c r="S98" s="18">
        <f>$C98*(1+$D98)^(S$4-2025)</f>
        <v>21816972.174167827</v>
      </c>
      <c r="T98" s="18">
        <f>$C98*(1+$D98)^(T$4-2025)</f>
        <v>22769891.728456002</v>
      </c>
      <c r="U98" s="18">
        <f>$C98*(1+$D98)^(U$4-2025)</f>
        <v>23764432.808852181</v>
      </c>
      <c r="V98" s="18">
        <f>$C98*(1+$D98)^(V$4-2025)</f>
        <v>24802413.356259942</v>
      </c>
      <c r="W98" s="18">
        <f>$C98*(1+$D98)^(W$4-2025)</f>
        <v>25885730.715425972</v>
      </c>
      <c r="X98" s="18">
        <f>$C98*(1+$D98)^(X$4-2025)</f>
        <v>27016365.103133269</v>
      </c>
    </row>
    <row r="99" spans="1:24">
      <c r="A99" s="22" t="str">
        <f>'Historical FY16-FY25'!A99</f>
        <v>York County</v>
      </c>
      <c r="B99" s="22" t="str">
        <f>'Historical FY16-FY25'!B99</f>
        <v>County</v>
      </c>
      <c r="C99" s="23">
        <f>'Historical FY16-FY25'!H99</f>
        <v>29615613</v>
      </c>
      <c r="D99" s="10">
        <f>MIN(Assumptions!$B$27,MAX(Assumptions!$B$26,Assumptions!$B$24+Assumptions!$B$25*('Historical FY16-FY25'!J99-Assumptions!$B$20)))</f>
        <v>4.1816000378425366E-2</v>
      </c>
      <c r="E99" s="15">
        <f>$C99*(1+$D99)^(E$4-2025)</f>
        <v>30854019.4844153</v>
      </c>
      <c r="F99" s="15">
        <f>$C99*(1+$D99)^(F$4-2025)</f>
        <v>32144211.174851552</v>
      </c>
      <c r="G99" s="15">
        <f>$C99*(1+$D99)^(G$4-2025)</f>
        <v>33488353.521503329</v>
      </c>
      <c r="H99" s="15">
        <f>$C99*(1+$D99)^(H$4-2025)</f>
        <v>34888702.525031358</v>
      </c>
      <c r="I99" s="15">
        <f>$C99*(1+$D99)^(I$4-2025)</f>
        <v>36347608.523020841</v>
      </c>
      <c r="J99" s="15">
        <f>$C99*(1+$D99)^(J$4-2025)</f>
        <v>37867520.134774335</v>
      </c>
      <c r="K99" s="15">
        <f>$C99*(1+$D99)^(K$4-2025)</f>
        <v>39450988.371060088</v>
      </c>
      <c r="L99" s="15">
        <f>$C99*(1+$D99)^(L$4-2025)</f>
        <v>41100670.915713593</v>
      </c>
      <c r="M99" s="15">
        <f>$C99*(1+$D99)^(M$4-2025)</f>
        <v>42819336.58627861</v>
      </c>
      <c r="N99" s="15">
        <f>$C99*(1+$D99)^(N$4-2025)</f>
        <v>44609869.981174357</v>
      </c>
      <c r="O99" s="15">
        <f>$C99*(1+$D99)^(O$4-2025)</f>
        <v>46475276.321188651</v>
      </c>
      <c r="P99" s="15">
        <f>$C99*(1+$D99)^(P$4-2025)</f>
        <v>48418686.493422896</v>
      </c>
      <c r="Q99" s="15">
        <f>$C99*(1+$D99)^(Q$4-2025)</f>
        <v>50443362.306154735</v>
      </c>
      <c r="R99" s="15">
        <f>$C99*(1+$D99)^(R$4-2025)</f>
        <v>52552701.963437945</v>
      </c>
      <c r="S99" s="15">
        <f>$C99*(1+$D99)^(S$4-2025)</f>
        <v>54750245.768628344</v>
      </c>
      <c r="T99" s="15">
        <f>$C99*(1+$D99)^(T$4-2025)</f>
        <v>57039682.066408187</v>
      </c>
      <c r="U99" s="15">
        <f>$C99*(1+$D99)^(U$4-2025)</f>
        <v>59424853.433282368</v>
      </c>
      <c r="V99" s="15">
        <f>$C99*(1+$D99)^(V$4-2025)</f>
        <v>61909763.126936391</v>
      </c>
      <c r="W99" s="15">
        <f>$C99*(1+$D99)^(W$4-2025)</f>
        <v>64498581.805280581</v>
      </c>
      <c r="X99" s="15">
        <f>$C99*(1+$D99)^(X$4-2025)</f>
        <v>67195654.526458085</v>
      </c>
    </row>
    <row r="100" spans="1:24">
      <c r="A100" s="24" t="str">
        <f>'Historical FY16-FY25'!A100</f>
        <v>Alexandria City</v>
      </c>
      <c r="B100" s="24" t="str">
        <f>'Historical FY16-FY25'!B100</f>
        <v>City</v>
      </c>
      <c r="C100" s="25">
        <f>'Historical FY16-FY25'!H100</f>
        <v>61548625</v>
      </c>
      <c r="D100" s="19">
        <f>MIN(Assumptions!$B$27,MAX(Assumptions!$B$26,Assumptions!$B$24+Assumptions!$B$25*('Historical FY16-FY25'!J100-Assumptions!$B$20)))</f>
        <v>4.6054258659013469E-2</v>
      </c>
      <c r="E100" s="18">
        <f>$C100*(1+$D100)^(E$4-2025)</f>
        <v>64383201.295856632</v>
      </c>
      <c r="F100" s="18">
        <f>$C100*(1+$D100)^(F$4-2025)</f>
        <v>67348321.901631355</v>
      </c>
      <c r="G100" s="18">
        <f>$C100*(1+$D100)^(G$4-2025)</f>
        <v>70449998.938739583</v>
      </c>
      <c r="H100" s="18">
        <f>$C100*(1+$D100)^(H$4-2025)</f>
        <v>73694521.412391543</v>
      </c>
      <c r="I100" s="18">
        <f>$C100*(1+$D100)^(I$4-2025)</f>
        <v>77088467.963270023</v>
      </c>
      <c r="J100" s="18">
        <f>$C100*(1+$D100)^(J$4-2025)</f>
        <v>80638720.206477553</v>
      </c>
      <c r="K100" s="18">
        <f>$C100*(1+$D100)^(K$4-2025)</f>
        <v>84352476.684798479</v>
      </c>
      <c r="L100" s="18">
        <f>$C100*(1+$D100)^(L$4-2025)</f>
        <v>88237267.464568615</v>
      </c>
      <c r="M100" s="18">
        <f>$C100*(1+$D100)^(M$4-2025)</f>
        <v>92300969.403746426</v>
      </c>
      <c r="N100" s="18">
        <f>$C100*(1+$D100)^(N$4-2025)</f>
        <v>96551822.123144269</v>
      </c>
      <c r="O100" s="18">
        <f>$C100*(1+$D100)^(O$4-2025)</f>
        <v>100998444.71320263</v>
      </c>
      <c r="P100" s="18">
        <f>$C100*(1+$D100)^(P$4-2025)</f>
        <v>105649853.21018255</v>
      </c>
      <c r="Q100" s="18">
        <f>$C100*(1+$D100)^(Q$4-2025)</f>
        <v>110515478.87721109</v>
      </c>
      <c r="R100" s="18">
        <f>$C100*(1+$D100)^(R$4-2025)</f>
        <v>115605187.32724692</v>
      </c>
      <c r="S100" s="18">
        <f>$C100*(1+$D100)^(S$4-2025)</f>
        <v>120929298.52673967</v>
      </c>
      <c r="T100" s="18">
        <f>$C100*(1+$D100)^(T$4-2025)</f>
        <v>126498607.72054322</v>
      </c>
      <c r="U100" s="18">
        <f>$C100*(1+$D100)^(U$4-2025)</f>
        <v>132324407.32051021</v>
      </c>
      <c r="V100" s="18">
        <f>$C100*(1+$D100)^(V$4-2025)</f>
        <v>138418509.80214965</v>
      </c>
      <c r="W100" s="18">
        <f>$C100*(1+$D100)^(W$4-2025)</f>
        <v>144793271.65577304</v>
      </c>
      <c r="X100" s="18">
        <f>$C100*(1+$D100)^(X$4-2025)</f>
        <v>151461618.44069287</v>
      </c>
    </row>
    <row r="101" spans="1:24">
      <c r="A101" s="22" t="str">
        <f>'Historical FY16-FY25'!A101</f>
        <v>Bristol City</v>
      </c>
      <c r="B101" s="22" t="str">
        <f>'Historical FY16-FY25'!B101</f>
        <v>City</v>
      </c>
      <c r="C101" s="23">
        <f>'Historical FY16-FY25'!H101</f>
        <v>9439333</v>
      </c>
      <c r="D101" s="10">
        <f>MIN(Assumptions!$B$27,MAX(Assumptions!$B$26,Assumptions!$B$24+Assumptions!$B$25*('Historical FY16-FY25'!J101-Assumptions!$B$20)))</f>
        <v>4.5574816738215951E-2</v>
      </c>
      <c r="E101" s="15">
        <f>$C101*(1+$D101)^(E$4-2025)</f>
        <v>9869528.8716059942</v>
      </c>
      <c r="F101" s="15">
        <f>$C101*(1+$D101)^(F$4-2025)</f>
        <v>10319330.841221968</v>
      </c>
      <c r="G101" s="15">
        <f>$C101*(1+$D101)^(G$4-2025)</f>
        <v>10789632.45317168</v>
      </c>
      <c r="H101" s="15">
        <f>$C101*(1+$D101)^(H$4-2025)</f>
        <v>11281367.974897686</v>
      </c>
      <c r="I101" s="15">
        <f>$C101*(1+$D101)^(I$4-2025)</f>
        <v>11795514.252910027</v>
      </c>
      <c r="J101" s="15">
        <f>$C101*(1+$D101)^(J$4-2025)</f>
        <v>12333092.653319415</v>
      </c>
      <c r="K101" s="15">
        <f>$C101*(1+$D101)^(K$4-2025)</f>
        <v>12895171.090809885</v>
      </c>
      <c r="L101" s="15">
        <f>$C101*(1+$D101)^(L$4-2025)</f>
        <v>13482866.150081487</v>
      </c>
      <c r="M101" s="15">
        <f>$C101*(1+$D101)^(M$4-2025)</f>
        <v>14097345.303977346</v>
      </c>
      <c r="N101" s="15">
        <f>$C101*(1+$D101)^(N$4-2025)</f>
        <v>14739829.232701462</v>
      </c>
      <c r="O101" s="15">
        <f>$C101*(1+$D101)^(O$4-2025)</f>
        <v>15411594.248734429</v>
      </c>
      <c r="P101" s="15">
        <f>$C101*(1+$D101)^(P$4-2025)</f>
        <v>16113974.832264245</v>
      </c>
      <c r="Q101" s="15">
        <f>$C101*(1+$D101)^(Q$4-2025)</f>
        <v>16848366.282168914</v>
      </c>
      <c r="R101" s="15">
        <f>$C101*(1+$D101)^(R$4-2025)</f>
        <v>17616227.487817094</v>
      </c>
      <c r="S101" s="15">
        <f>$C101*(1+$D101)^(S$4-2025)</f>
        <v>18419083.827193085</v>
      </c>
      <c r="T101" s="15">
        <f>$C101*(1+$D101)^(T$4-2025)</f>
        <v>19258530.197103247</v>
      </c>
      <c r="U101" s="15">
        <f>$C101*(1+$D101)^(U$4-2025)</f>
        <v>20136234.181483626</v>
      </c>
      <c r="V101" s="15">
        <f>$C101*(1+$D101)^(V$4-2025)</f>
        <v>21053939.364102539</v>
      </c>
      <c r="W101" s="15">
        <f>$C101*(1+$D101)^(W$4-2025)</f>
        <v>22013468.792239029</v>
      </c>
      <c r="X101" s="15">
        <f>$C101*(1+$D101)^(X$4-2025)</f>
        <v>23016728.598217756</v>
      </c>
    </row>
    <row r="102" spans="1:24">
      <c r="A102" s="24" t="str">
        <f>'Historical FY16-FY25'!A102</f>
        <v>Buena Vista City</v>
      </c>
      <c r="B102" s="24" t="str">
        <f>'Historical FY16-FY25'!B102</f>
        <v>City</v>
      </c>
      <c r="C102" s="25">
        <f>'Historical FY16-FY25'!H102</f>
        <v>1714986</v>
      </c>
      <c r="D102" s="19">
        <f>MIN(Assumptions!$B$27,MAX(Assumptions!$B$26,Assumptions!$B$24+Assumptions!$B$25*('Historical FY16-FY25'!J102-Assumptions!$B$20)))</f>
        <v>4.0289918502730671E-2</v>
      </c>
      <c r="E102" s="18">
        <f>$C102*(1+$D102)^(E$4-2025)</f>
        <v>1784082.6461733242</v>
      </c>
      <c r="F102" s="18">
        <f>$C102*(1+$D102)^(F$4-2025)</f>
        <v>1855963.1905897839</v>
      </c>
      <c r="G102" s="18">
        <f>$C102*(1+$D102)^(G$4-2025)</f>
        <v>1930739.7962827147</v>
      </c>
      <c r="H102" s="18">
        <f>$C102*(1+$D102)^(H$4-2025)</f>
        <v>2008529.1453249243</v>
      </c>
      <c r="I102" s="18">
        <f>$C102*(1+$D102)^(I$4-2025)</f>
        <v>2089452.6209004249</v>
      </c>
      <c r="J102" s="18">
        <f>$C102*(1+$D102)^(J$4-2025)</f>
        <v>2173636.4967118204</v>
      </c>
      <c r="K102" s="18">
        <f>$C102*(1+$D102)^(K$4-2025)</f>
        <v>2261212.1340189008</v>
      </c>
      <c r="L102" s="18">
        <f>$C102*(1+$D102)^(L$4-2025)</f>
        <v>2352316.1866159085</v>
      </c>
      <c r="M102" s="18">
        <f>$C102*(1+$D102)^(M$4-2025)</f>
        <v>2447090.8140673181</v>
      </c>
      <c r="N102" s="18">
        <f>$C102*(1+$D102)^(N$4-2025)</f>
        <v>2545683.9035348715</v>
      </c>
      <c r="O102" s="18">
        <f>$C102*(1+$D102)^(O$4-2025)</f>
        <v>2648249.3005420053</v>
      </c>
      <c r="P102" s="18">
        <f>$C102*(1+$D102)^(P$4-2025)</f>
        <v>2754947.0490357564</v>
      </c>
      <c r="Q102" s="18">
        <f>$C102*(1+$D102)^(Q$4-2025)</f>
        <v>2865943.6411207453</v>
      </c>
      <c r="R102" s="18">
        <f>$C102*(1+$D102)^(R$4-2025)</f>
        <v>2981412.2768549197</v>
      </c>
      <c r="S102" s="18">
        <f>$C102*(1+$D102)^(S$4-2025)</f>
        <v>3101533.1345124464</v>
      </c>
      <c r="T102" s="18">
        <f>$C102*(1+$D102)^(T$4-2025)</f>
        <v>3226493.6517354716</v>
      </c>
      <c r="U102" s="18">
        <f>$C102*(1+$D102)^(U$4-2025)</f>
        <v>3356488.818013472</v>
      </c>
      <c r="V102" s="18">
        <f>$C102*(1+$D102)^(V$4-2025)</f>
        <v>3491721.4789465619</v>
      </c>
      <c r="W102" s="18">
        <f>$C102*(1+$D102)^(W$4-2025)</f>
        <v>3632402.6527675539</v>
      </c>
      <c r="X102" s="18">
        <f>$C102*(1+$D102)^(X$4-2025)</f>
        <v>3778751.8596166614</v>
      </c>
    </row>
    <row r="103" spans="1:24">
      <c r="A103" s="22" t="str">
        <f>'Historical FY16-FY25'!A103</f>
        <v>Charlottesville City</v>
      </c>
      <c r="B103" s="22" t="str">
        <f>'Historical FY16-FY25'!B103</f>
        <v>City</v>
      </c>
      <c r="C103" s="23">
        <f>'Historical FY16-FY25'!H103</f>
        <v>20612663</v>
      </c>
      <c r="D103" s="10">
        <f>MIN(Assumptions!$B$27,MAX(Assumptions!$B$26,Assumptions!$B$24+Assumptions!$B$25*('Historical FY16-FY25'!J103-Assumptions!$B$20)))</f>
        <v>3.8457287619192981E-2</v>
      </c>
      <c r="E103" s="15">
        <f>$C103*(1+$D103)^(E$4-2025)</f>
        <v>21405370.1095885</v>
      </c>
      <c r="F103" s="15">
        <f>$C103*(1+$D103)^(F$4-2025)</f>
        <v>22228562.584488221</v>
      </c>
      <c r="G103" s="15">
        <f>$C103*(1+$D103)^(G$4-2025)</f>
        <v>23083412.809161115</v>
      </c>
      <c r="H103" s="15">
        <f>$C103*(1+$D103)^(H$4-2025)</f>
        <v>23971138.254795592</v>
      </c>
      <c r="I103" s="15">
        <f>$C103*(1+$D103)^(I$4-2025)</f>
        <v>24893003.21321971</v>
      </c>
      <c r="J103" s="15">
        <f>$C103*(1+$D103)^(J$4-2025)</f>
        <v>25850320.597495995</v>
      </c>
      <c r="K103" s="15">
        <f>$C103*(1+$D103)^(K$4-2025)</f>
        <v>26844453.811762247</v>
      </c>
      <c r="L103" s="15">
        <f>$C103*(1+$D103)^(L$4-2025)</f>
        <v>27876818.692981333</v>
      </c>
      <c r="M103" s="15">
        <f>$C103*(1+$D103)^(M$4-2025)</f>
        <v>28948885.527365416</v>
      </c>
      <c r="N103" s="15">
        <f>$C103*(1+$D103)^(N$4-2025)</f>
        <v>30062181.144346401</v>
      </c>
      <c r="O103" s="15">
        <f>$C103*(1+$D103)^(O$4-2025)</f>
        <v>31218291.091074809</v>
      </c>
      <c r="P103" s="15">
        <f>$C103*(1+$D103)^(P$4-2025)</f>
        <v>32418861.890543967</v>
      </c>
      <c r="Q103" s="15">
        <f>$C103*(1+$D103)^(Q$4-2025)</f>
        <v>33665603.386555515</v>
      </c>
      <c r="R103" s="15">
        <f>$C103*(1+$D103)^(R$4-2025)</f>
        <v>34960291.178865962</v>
      </c>
      <c r="S103" s="15">
        <f>$C103*(1+$D103)^(S$4-2025)</f>
        <v>36304769.151982345</v>
      </c>
      <c r="T103" s="15">
        <f>$C103*(1+$D103)^(T$4-2025)</f>
        <v>37700952.101208538</v>
      </c>
      <c r="U103" s="15">
        <f>$C103*(1+$D103)^(U$4-2025)</f>
        <v>39150828.459682137</v>
      </c>
      <c r="V103" s="15">
        <f>$C103*(1+$D103)^(V$4-2025)</f>
        <v>40656463.130285822</v>
      </c>
      <c r="W103" s="15">
        <f>$C103*(1+$D103)^(W$4-2025)</f>
        <v>42220000.426466346</v>
      </c>
      <c r="X103" s="15">
        <f>$C103*(1+$D103)^(X$4-2025)</f>
        <v>43843667.126149416</v>
      </c>
    </row>
    <row r="104" spans="1:24">
      <c r="A104" s="24" t="str">
        <f>'Historical FY16-FY25'!A104</f>
        <v>Chesapeake City</v>
      </c>
      <c r="B104" s="24" t="str">
        <f>'Historical FY16-FY25'!B104</f>
        <v>City</v>
      </c>
      <c r="C104" s="25">
        <f>'Historical FY16-FY25'!H104</f>
        <v>110947843</v>
      </c>
      <c r="D104" s="19">
        <f>MIN(Assumptions!$B$27,MAX(Assumptions!$B$26,Assumptions!$B$24+Assumptions!$B$25*('Historical FY16-FY25'!J104-Assumptions!$B$20)))</f>
        <v>4.4782914150210629E-2</v>
      </c>
      <c r="E104" s="18">
        <f>$C104*(1+$D104)^(E$4-2025)</f>
        <v>115916410.72822006</v>
      </c>
      <c r="F104" s="18">
        <f>$C104*(1+$D104)^(F$4-2025)</f>
        <v>121107485.39846249</v>
      </c>
      <c r="G104" s="18">
        <f>$C104*(1+$D104)^(G$4-2025)</f>
        <v>126531031.52000974</v>
      </c>
      <c r="H104" s="18">
        <f>$C104*(1+$D104)^(H$4-2025)</f>
        <v>132197459.84190793</v>
      </c>
      <c r="I104" s="18">
        <f>$C104*(1+$D104)^(I$4-2025)</f>
        <v>138117647.33688402</v>
      </c>
      <c r="J104" s="18">
        <f>$C104*(1+$D104)^(J$4-2025)</f>
        <v>144302958.08020076</v>
      </c>
      <c r="K104" s="18">
        <f>$C104*(1+$D104)^(K$4-2025)</f>
        <v>150765265.06352788</v>
      </c>
      <c r="L104" s="18">
        <f>$C104*(1+$D104)^(L$4-2025)</f>
        <v>157516972.98570156</v>
      </c>
      <c r="M104" s="18">
        <f>$C104*(1+$D104)^(M$4-2025)</f>
        <v>164571042.06412131</v>
      </c>
      <c r="N104" s="18">
        <f>$C104*(1+$D104)^(N$4-2025)</f>
        <v>171941012.91248956</v>
      </c>
      <c r="O104" s="18">
        <f>$C104*(1+$D104)^(O$4-2025)</f>
        <v>179641032.53264984</v>
      </c>
      <c r="P104" s="18">
        <f>$C104*(1+$D104)^(P$4-2025)</f>
        <v>187685881.4704147</v>
      </c>
      <c r="Q104" s="18">
        <f>$C104*(1+$D104)^(Q$4-2025)</f>
        <v>196091002.18751091</v>
      </c>
      <c r="R104" s="18">
        <f>$C104*(1+$D104)^(R$4-2025)</f>
        <v>204872528.70410299</v>
      </c>
      <c r="S104" s="18">
        <f>$C104*(1+$D104)^(S$4-2025)</f>
        <v>214047317.56879544</v>
      </c>
      <c r="T104" s="18">
        <f>$C104*(1+$D104)^(T$4-2025)</f>
        <v>223632980.21556166</v>
      </c>
      <c r="U104" s="18">
        <f>$C104*(1+$D104)^(U$4-2025)</f>
        <v>233647916.76971093</v>
      </c>
      <c r="V104" s="18">
        <f>$C104*(1+$D104)^(V$4-2025)</f>
        <v>244111351.36778447</v>
      </c>
      <c r="W104" s="18">
        <f>$C104*(1+$D104)^(W$4-2025)</f>
        <v>255043369.05917984</v>
      </c>
      <c r="X104" s="18">
        <f>$C104*(1+$D104)^(X$4-2025)</f>
        <v>266464954.36033762</v>
      </c>
    </row>
    <row r="105" spans="1:24">
      <c r="A105" s="22" t="str">
        <f>'Historical FY16-FY25'!A105</f>
        <v>Colonial Heights City</v>
      </c>
      <c r="B105" s="22" t="str">
        <f>'Historical FY16-FY25'!B105</f>
        <v>City</v>
      </c>
      <c r="C105" s="23">
        <f>'Historical FY16-FY25'!H105</f>
        <v>13567771</v>
      </c>
      <c r="D105" s="10">
        <f>MIN(Assumptions!$B$27,MAX(Assumptions!$B$26,Assumptions!$B$24+Assumptions!$B$25*('Historical FY16-FY25'!J105-Assumptions!$B$20)))</f>
        <v>3.8579270413091948E-2</v>
      </c>
      <c r="E105" s="15">
        <f>$C105*(1+$D105)^(E$4-2025)</f>
        <v>14091205.706311906</v>
      </c>
      <c r="F105" s="15">
        <f>$C105*(1+$D105)^(F$4-2025)</f>
        <v>14634834.141702214</v>
      </c>
      <c r="G105" s="15">
        <f>$C105*(1+$D105)^(G$4-2025)</f>
        <v>15199435.365505693</v>
      </c>
      <c r="H105" s="15">
        <f>$C105*(1+$D105)^(H$4-2025)</f>
        <v>15785818.492597848</v>
      </c>
      <c r="I105" s="15">
        <f>$C105*(1+$D105)^(I$4-2025)</f>
        <v>16394823.852915766</v>
      </c>
      <c r="J105" s="15">
        <f>$C105*(1+$D105)^(J$4-2025)</f>
        <v>17027324.19571241</v>
      </c>
      <c r="K105" s="15">
        <f>$C105*(1+$D105)^(K$4-2025)</f>
        <v>17684225.940270182</v>
      </c>
      <c r="L105" s="15">
        <f>$C105*(1+$D105)^(L$4-2025)</f>
        <v>18366470.474866077</v>
      </c>
      <c r="M105" s="15">
        <f>$C105*(1+$D105)^(M$4-2025)</f>
        <v>19075035.505850002</v>
      </c>
      <c r="N105" s="15">
        <f>$C105*(1+$D105)^(N$4-2025)</f>
        <v>19810936.458769515</v>
      </c>
      <c r="O105" s="15">
        <f>$C105*(1+$D105)^(O$4-2025)</f>
        <v>20575227.933548968</v>
      </c>
      <c r="P105" s="15">
        <f>$C105*(1+$D105)^(P$4-2025)</f>
        <v>21369005.215808354</v>
      </c>
      <c r="Q105" s="15">
        <f>$C105*(1+$D105)^(Q$4-2025)</f>
        <v>22193405.846487794</v>
      </c>
      <c r="R105" s="15">
        <f>$C105*(1+$D105)^(R$4-2025)</f>
        <v>23049611.252026938</v>
      </c>
      <c r="S105" s="15">
        <f>$C105*(1+$D105)^(S$4-2025)</f>
        <v>23938848.437435526</v>
      </c>
      <c r="T105" s="15">
        <f>$C105*(1+$D105)^(T$4-2025)</f>
        <v>24862391.744681373</v>
      </c>
      <c r="U105" s="15">
        <f>$C105*(1+$D105)^(U$4-2025)</f>
        <v>25821564.678915661</v>
      </c>
      <c r="V105" s="15">
        <f>$C105*(1+$D105)^(V$4-2025)</f>
        <v>26817741.805152684</v>
      </c>
      <c r="W105" s="15">
        <f>$C105*(1+$D105)^(W$4-2025)</f>
        <v>27852350.718122147</v>
      </c>
      <c r="X105" s="15">
        <f>$C105*(1+$D105)^(X$4-2025)</f>
        <v>28926874.088116854</v>
      </c>
    </row>
    <row r="106" spans="1:24">
      <c r="A106" s="24" t="str">
        <f>'Historical FY16-FY25'!A106</f>
        <v>Covington City</v>
      </c>
      <c r="B106" s="24" t="str">
        <f>'Historical FY16-FY25'!B106</f>
        <v>City</v>
      </c>
      <c r="C106" s="25">
        <f>'Historical FY16-FY25'!H106</f>
        <v>2820425</v>
      </c>
      <c r="D106" s="19">
        <f>MIN(Assumptions!$B$27,MAX(Assumptions!$B$26,Assumptions!$B$24+Assumptions!$B$25*('Historical FY16-FY25'!J106-Assumptions!$B$20)))</f>
        <v>3.7419388347380789E-2</v>
      </c>
      <c r="E106" s="18">
        <f>$C106*(1+$D106)^(E$4-2025)</f>
        <v>2925963.5783796613</v>
      </c>
      <c r="F106" s="18">
        <f>$C106*(1+$D106)^(F$4-2025)</f>
        <v>3035451.3458093419</v>
      </c>
      <c r="G106" s="18">
        <f>$C106*(1+$D106)^(G$4-2025)</f>
        <v>3149036.0785277612</v>
      </c>
      <c r="H106" s="18">
        <f>$C106*(1+$D106)^(H$4-2025)</f>
        <v>3266871.0824701046</v>
      </c>
      <c r="I106" s="18">
        <f>$C106*(1+$D106)^(I$4-2025)</f>
        <v>3389115.4001858816</v>
      </c>
      <c r="J106" s="18">
        <f>$C106*(1+$D106)^(J$4-2025)</f>
        <v>3515934.0254995259</v>
      </c>
      <c r="K106" s="18">
        <f>$C106*(1+$D106)^(K$4-2025)</f>
        <v>3647498.1262034625</v>
      </c>
      <c r="L106" s="18">
        <f>$C106*(1+$D106)^(L$4-2025)</f>
        <v>3783985.2750842134</v>
      </c>
      <c r="M106" s="18">
        <f>$C106*(1+$D106)^(M$4-2025)</f>
        <v>3925579.6895933603</v>
      </c>
      <c r="N106" s="18">
        <f>$C106*(1+$D106)^(N$4-2025)</f>
        <v>4072472.4804868447</v>
      </c>
      <c r="O106" s="18">
        <f>$C106*(1+$D106)^(O$4-2025)</f>
        <v>4224861.9097682033</v>
      </c>
      <c r="P106" s="18">
        <f>$C106*(1+$D106)^(P$4-2025)</f>
        <v>4382953.6582838763</v>
      </c>
      <c r="Q106" s="18">
        <f>$C106*(1+$D106)^(Q$4-2025)</f>
        <v>4546961.1033317735</v>
      </c>
      <c r="R106" s="18">
        <f>$C106*(1+$D106)^(R$4-2025)</f>
        <v>4717105.6066577798</v>
      </c>
      <c r="S106" s="18">
        <f>$C106*(1+$D106)^(S$4-2025)</f>
        <v>4893616.8132289145</v>
      </c>
      <c r="T106" s="18">
        <f>$C106*(1+$D106)^(T$4-2025)</f>
        <v>5076732.9611863997</v>
      </c>
      <c r="U106" s="18">
        <f>$C106*(1+$D106)^(U$4-2025)</f>
        <v>5266701.2033969816</v>
      </c>
      <c r="V106" s="18">
        <f>$C106*(1+$D106)^(V$4-2025)</f>
        <v>5463777.9410365112</v>
      </c>
      <c r="W106" s="18">
        <f>$C106*(1+$D106)^(W$4-2025)</f>
        <v>5668229.1696560085</v>
      </c>
      <c r="X106" s="18">
        <f>$C106*(1+$D106)^(X$4-2025)</f>
        <v>5880330.8381973188</v>
      </c>
    </row>
    <row r="107" spans="1:24">
      <c r="A107" s="22" t="str">
        <f>'Historical FY16-FY25'!A107</f>
        <v>Danville City</v>
      </c>
      <c r="B107" s="22" t="str">
        <f>'Historical FY16-FY25'!B107</f>
        <v>City</v>
      </c>
      <c r="C107" s="23">
        <f>'Historical FY16-FY25'!H107</f>
        <v>21070644</v>
      </c>
      <c r="D107" s="10">
        <f>MIN(Assumptions!$B$27,MAX(Assumptions!$B$26,Assumptions!$B$24+Assumptions!$B$25*('Historical FY16-FY25'!J107-Assumptions!$B$20)))</f>
        <v>4.7728972101564016E-2</v>
      </c>
      <c r="E107" s="15">
        <f>$C107*(1+$D107)^(E$4-2025)</f>
        <v>22076324.179637983</v>
      </c>
      <c r="F107" s="15">
        <f>$C107*(1+$D107)^(F$4-2025)</f>
        <v>23130004.440513004</v>
      </c>
      <c r="G107" s="15">
        <f>$C107*(1+$D107)^(G$4-2025)</f>
        <v>24233975.777163297</v>
      </c>
      <c r="H107" s="15">
        <f>$C107*(1+$D107)^(H$4-2025)</f>
        <v>25390638.530941501</v>
      </c>
      <c r="I107" s="15">
        <f>$C107*(1+$D107)^(I$4-2025)</f>
        <v>26602507.609025702</v>
      </c>
      <c r="J107" s="15">
        <f>$C107*(1+$D107)^(J$4-2025)</f>
        <v>27872217.952528525</v>
      </c>
      <c r="K107" s="15">
        <f>$C107*(1+$D107)^(K$4-2025)</f>
        <v>29202530.265593469</v>
      </c>
      <c r="L107" s="15">
        <f>$C107*(1+$D107)^(L$4-2025)</f>
        <v>30596337.017935056</v>
      </c>
      <c r="M107" s="15">
        <f>$C107*(1+$D107)^(M$4-2025)</f>
        <v>32056668.733874124</v>
      </c>
      <c r="N107" s="15">
        <f>$C107*(1+$D107)^(N$4-2025)</f>
        <v>33586700.581542276</v>
      </c>
      <c r="O107" s="15">
        <f>$C107*(1+$D107)^(O$4-2025)</f>
        <v>35189759.276582286</v>
      </c>
      <c r="P107" s="15">
        <f>$C107*(1+$D107)^(P$4-2025)</f>
        <v>36869330.315355033</v>
      </c>
      <c r="Q107" s="15">
        <f>$C107*(1+$D107)^(Q$4-2025)</f>
        <v>38629065.55337996</v>
      </c>
      <c r="R107" s="15">
        <f>$C107*(1+$D107)^(R$4-2025)</f>
        <v>40472791.145486705</v>
      </c>
      <c r="S107" s="15">
        <f>$C107*(1+$D107)^(S$4-2025)</f>
        <v>42404515.864942059</v>
      </c>
      <c r="T107" s="15">
        <f>$C107*(1+$D107)^(T$4-2025)</f>
        <v>44428439.819640204</v>
      </c>
      <c r="U107" s="15">
        <f>$C107*(1+$D107)^(U$4-2025)</f>
        <v>46548963.584307827</v>
      </c>
      <c r="V107" s="15">
        <f>$C107*(1+$D107)^(V$4-2025)</f>
        <v>48770697.76857996</v>
      </c>
      <c r="W107" s="15">
        <f>$C107*(1+$D107)^(W$4-2025)</f>
        <v>51098473.041750312</v>
      </c>
      <c r="X107" s="15">
        <f>$C107*(1+$D107)^(X$4-2025)</f>
        <v>53537350.635992534</v>
      </c>
    </row>
    <row r="108" spans="1:24">
      <c r="A108" s="24" t="str">
        <f>'Historical FY16-FY25'!A108</f>
        <v>Emporia City</v>
      </c>
      <c r="B108" s="24" t="str">
        <f>'Historical FY16-FY25'!B108</f>
        <v>City</v>
      </c>
      <c r="C108" s="25">
        <f>'Historical FY16-FY25'!H108</f>
        <v>3938484</v>
      </c>
      <c r="D108" s="19">
        <f>MIN(Assumptions!$B$27,MAX(Assumptions!$B$26,Assumptions!$B$24+Assumptions!$B$25*('Historical FY16-FY25'!J108-Assumptions!$B$20)))</f>
        <v>4.8908027700969248E-2</v>
      </c>
      <c r="E108" s="18">
        <f>$C108*(1+$D108)^(E$4-2025)</f>
        <v>4131107.4845718243</v>
      </c>
      <c r="F108" s="18">
        <f>$C108*(1+$D108)^(F$4-2025)</f>
        <v>4333151.8038629442</v>
      </c>
      <c r="G108" s="18">
        <f>$C108*(1+$D108)^(G$4-2025)</f>
        <v>4545077.7123187771</v>
      </c>
      <c r="H108" s="18">
        <f>$C108*(1+$D108)^(H$4-2025)</f>
        <v>4767368.4989759224</v>
      </c>
      <c r="I108" s="18">
        <f>$C108*(1+$D108)^(I$4-2025)</f>
        <v>5000531.0895845648</v>
      </c>
      <c r="J108" s="18">
        <f>$C108*(1+$D108)^(J$4-2025)</f>
        <v>5245097.2026335243</v>
      </c>
      <c r="K108" s="18">
        <f>$C108*(1+$D108)^(K$4-2025)</f>
        <v>5501624.5619142009</v>
      </c>
      <c r="L108" s="18">
        <f>$C108*(1+$D108)^(L$4-2025)</f>
        <v>5770698.1683886331</v>
      </c>
      <c r="M108" s="18">
        <f>$C108*(1+$D108)^(M$4-2025)</f>
        <v>6052931.6342621176</v>
      </c>
      <c r="N108" s="18">
        <f>$C108*(1+$D108)^(N$4-2025)</f>
        <v>6348968.5823026812</v>
      </c>
      <c r="O108" s="18">
        <f>$C108*(1+$D108)^(O$4-2025)</f>
        <v>6659484.1135985237</v>
      </c>
      <c r="P108" s="18">
        <f>$C108*(1+$D108)^(P$4-2025)</f>
        <v>6985186.3471005652</v>
      </c>
      <c r="Q108" s="18">
        <f>$C108*(1+$D108)^(Q$4-2025)</f>
        <v>7326818.0344609926</v>
      </c>
      <c r="R108" s="18">
        <f>$C108*(1+$D108)^(R$4-2025)</f>
        <v>7685158.2538503697</v>
      </c>
      <c r="S108" s="18">
        <f>$C108*(1+$D108)^(S$4-2025)</f>
        <v>8061024.1866160156</v>
      </c>
      <c r="T108" s="18">
        <f>$C108*(1+$D108)^(T$4-2025)</f>
        <v>8455272.9808332156</v>
      </c>
      <c r="U108" s="18">
        <f>$C108*(1+$D108)^(U$4-2025)</f>
        <v>8868803.7059990633</v>
      </c>
      <c r="V108" s="18">
        <f>$C108*(1+$D108)^(V$4-2025)</f>
        <v>9302559.4033265226</v>
      </c>
      <c r="W108" s="18">
        <f>$C108*(1+$D108)^(W$4-2025)</f>
        <v>9757529.2363143284</v>
      </c>
      <c r="X108" s="18">
        <f>$C108*(1+$D108)^(X$4-2025)</f>
        <v>10234750.746497007</v>
      </c>
    </row>
    <row r="109" spans="1:24">
      <c r="A109" s="22" t="str">
        <f>'Historical FY16-FY25'!A109</f>
        <v>Fairfax City</v>
      </c>
      <c r="B109" s="22" t="str">
        <f>'Historical FY16-FY25'!B109</f>
        <v>City</v>
      </c>
      <c r="C109" s="23">
        <f>'Historical FY16-FY25'!H109</f>
        <v>17233477</v>
      </c>
      <c r="D109" s="10">
        <f>MIN(Assumptions!$B$27,MAX(Assumptions!$B$26,Assumptions!$B$24+Assumptions!$B$25*('Historical FY16-FY25'!J109-Assumptions!$B$20)))</f>
        <v>3.1874299417589347E-2</v>
      </c>
      <c r="E109" s="15">
        <f>$C109*(1+$D109)^(E$4-2025)</f>
        <v>17782782.005904138</v>
      </c>
      <c r="F109" s="15">
        <f>$C109*(1+$D109)^(F$4-2025)</f>
        <v>18349595.72403805</v>
      </c>
      <c r="G109" s="15">
        <f>$C109*(1+$D109)^(G$4-2025)</f>
        <v>18934476.232337754</v>
      </c>
      <c r="H109" s="15">
        <f>$C109*(1+$D109)^(H$4-2025)</f>
        <v>19537999.397082519</v>
      </c>
      <c r="I109" s="15">
        <f>$C109*(1+$D109)^(I$4-2025)</f>
        <v>20160759.439885806</v>
      </c>
      <c r="J109" s="15">
        <f>$C109*(1+$D109)^(J$4-2025)</f>
        <v>20803369.522758719</v>
      </c>
      <c r="K109" s="15">
        <f>$C109*(1+$D109)^(K$4-2025)</f>
        <v>21466462.351821881</v>
      </c>
      <c r="L109" s="15">
        <f>$C109*(1+$D109)^(L$4-2025)</f>
        <v>22150690.800260261</v>
      </c>
      <c r="M109" s="15">
        <f>$C109*(1+$D109)^(M$4-2025)</f>
        <v>22856728.551134195</v>
      </c>
      <c r="N109" s="15">
        <f>$C109*(1+$D109)^(N$4-2025)</f>
        <v>23585270.76067961</v>
      </c>
      <c r="O109" s="15">
        <f>$C109*(1+$D109)^(O$4-2025)</f>
        <v>24337034.742750432</v>
      </c>
      <c r="P109" s="15">
        <f>$C109*(1+$D109)^(P$4-2025)</f>
        <v>25112760.675077133</v>
      </c>
      <c r="Q109" s="15">
        <f>$C109*(1+$D109)^(Q$4-2025)</f>
        <v>25913212.328036804</v>
      </c>
      <c r="R109" s="15">
        <f>$C109*(1+$D109)^(R$4-2025)</f>
        <v>26739177.81665222</v>
      </c>
      <c r="S109" s="15">
        <f>$C109*(1+$D109)^(S$4-2025)</f>
        <v>27591470.376560353</v>
      </c>
      <c r="T109" s="15">
        <f>$C109*(1+$D109)^(T$4-2025)</f>
        <v>28470929.164714385</v>
      </c>
      <c r="U109" s="15">
        <f>$C109*(1+$D109)^(U$4-2025)</f>
        <v>29378420.085607469</v>
      </c>
      <c r="V109" s="15">
        <f>$C109*(1+$D109)^(V$4-2025)</f>
        <v>30314836.643831845</v>
      </c>
      <c r="W109" s="15">
        <f>$C109*(1+$D109)^(W$4-2025)</f>
        <v>31281100.823812649</v>
      </c>
      <c r="X109" s="15">
        <f>$C109*(1+$D109)^(X$4-2025)</f>
        <v>32278163.997582655</v>
      </c>
    </row>
    <row r="110" spans="1:24">
      <c r="A110" s="24" t="str">
        <f>'Historical FY16-FY25'!A110</f>
        <v>Falls Church City</v>
      </c>
      <c r="B110" s="24" t="str">
        <f>'Historical FY16-FY25'!B110</f>
        <v>City</v>
      </c>
      <c r="C110" s="25">
        <f>'Historical FY16-FY25'!H110</f>
        <v>10238266</v>
      </c>
      <c r="D110" s="19">
        <f>MIN(Assumptions!$B$27,MAX(Assumptions!$B$26,Assumptions!$B$24+Assumptions!$B$25*('Historical FY16-FY25'!J110-Assumptions!$B$20)))</f>
        <v>4.369007700743277E-2</v>
      </c>
      <c r="E110" s="18">
        <f>$C110*(1+$D110)^(E$4-2025)</f>
        <v>10685576.62996258</v>
      </c>
      <c r="F110" s="18">
        <f>$C110*(1+$D110)^(F$4-2025)</f>
        <v>11152430.295794468</v>
      </c>
      <c r="G110" s="18">
        <f>$C110*(1+$D110)^(G$4-2025)</f>
        <v>11639680.834237752</v>
      </c>
      <c r="H110" s="18">
        <f>$C110*(1+$D110)^(H$4-2025)</f>
        <v>12148219.386227541</v>
      </c>
      <c r="I110" s="18">
        <f>$C110*(1+$D110)^(I$4-2025)</f>
        <v>12678976.026715007</v>
      </c>
      <c r="J110" s="18">
        <f>$C110*(1+$D110)^(J$4-2025)</f>
        <v>13232921.465697579</v>
      </c>
      <c r="K110" s="18">
        <f>$C110*(1+$D110)^(K$4-2025)</f>
        <v>13811068.823567215</v>
      </c>
      <c r="L110" s="18">
        <f>$C110*(1+$D110)^(L$4-2025)</f>
        <v>14414475.484023822</v>
      </c>
      <c r="M110" s="18">
        <f>$C110*(1+$D110)^(M$4-2025)</f>
        <v>15044245.027942572</v>
      </c>
      <c r="N110" s="18">
        <f>$C110*(1+$D110)^(N$4-2025)</f>
        <v>15701529.251732072</v>
      </c>
      <c r="O110" s="18">
        <f>$C110*(1+$D110)^(O$4-2025)</f>
        <v>16387530.273874702</v>
      </c>
      <c r="P110" s="18">
        <f>$C110*(1+$D110)^(P$4-2025)</f>
        <v>17103502.733501926</v>
      </c>
      <c r="Q110" s="18">
        <f>$C110*(1+$D110)^(Q$4-2025)</f>
        <v>17850756.085025456</v>
      </c>
      <c r="R110" s="18">
        <f>$C110*(1+$D110)^(R$4-2025)</f>
        <v>18630656.993021116</v>
      </c>
      <c r="S110" s="18">
        <f>$C110*(1+$D110)^(S$4-2025)</f>
        <v>19444631.831745274</v>
      </c>
      <c r="T110" s="18">
        <f>$C110*(1+$D110)^(T$4-2025)</f>
        <v>20294169.293855403</v>
      </c>
      <c r="U110" s="18">
        <f>$C110*(1+$D110)^(U$4-2025)</f>
        <v>21180823.113105819</v>
      </c>
      <c r="V110" s="18">
        <f>$C110*(1+$D110)^(V$4-2025)</f>
        <v>22106214.905998226</v>
      </c>
      <c r="W110" s="18">
        <f>$C110*(1+$D110)^(W$4-2025)</f>
        <v>23072037.137584142</v>
      </c>
      <c r="X110" s="18">
        <f>$C110*(1+$D110)^(X$4-2025)</f>
        <v>24080056.216843542</v>
      </c>
    </row>
    <row r="111" spans="1:24">
      <c r="A111" s="22" t="str">
        <f>'Historical FY16-FY25'!A111</f>
        <v>Franklin City</v>
      </c>
      <c r="B111" s="22" t="str">
        <f>'Historical FY16-FY25'!B111</f>
        <v>City</v>
      </c>
      <c r="C111" s="23">
        <f>'Historical FY16-FY25'!H111</f>
        <v>3906519</v>
      </c>
      <c r="D111" s="10">
        <f>MIN(Assumptions!$B$27,MAX(Assumptions!$B$26,Assumptions!$B$24+Assumptions!$B$25*('Historical FY16-FY25'!J111-Assumptions!$B$20)))</f>
        <v>3.5361520082310194E-2</v>
      </c>
      <c r="E111" s="15">
        <f>$C111*(1+$D111)^(E$4-2025)</f>
        <v>4044659.4500704259</v>
      </c>
      <c r="F111" s="15">
        <f>$C111*(1+$D111)^(F$4-2025)</f>
        <v>4187684.7564401967</v>
      </c>
      <c r="G111" s="15">
        <f>$C111*(1+$D111)^(G$4-2025)</f>
        <v>4335767.6550534414</v>
      </c>
      <c r="H111" s="15">
        <f>$C111*(1+$D111)^(H$4-2025)</f>
        <v>4489086.9900598442</v>
      </c>
      <c r="I111" s="15">
        <f>$C111*(1+$D111)^(I$4-2025)</f>
        <v>4647827.9298100816</v>
      </c>
      <c r="J111" s="15">
        <f>$C111*(1+$D111)^(J$4-2025)</f>
        <v>4812182.1904891832</v>
      </c>
      <c r="K111" s="15">
        <f>$C111*(1+$D111)^(K$4-2025)</f>
        <v>4982348.2676579012</v>
      </c>
      <c r="L111" s="15">
        <f>$C111*(1+$D111)^(L$4-2025)</f>
        <v>5158531.6759817498</v>
      </c>
      <c r="M111" s="15">
        <f>$C111*(1+$D111)^(M$4-2025)</f>
        <v>5340945.1974372109</v>
      </c>
      <c r="N111" s="15">
        <f>$C111*(1+$D111)^(N$4-2025)</f>
        <v>5529809.1382949045</v>
      </c>
      <c r="O111" s="15">
        <f>$C111*(1+$D111)^(O$4-2025)</f>
        <v>5725351.5951900622</v>
      </c>
      <c r="P111" s="15">
        <f>$C111*(1+$D111)^(P$4-2025)</f>
        <v>5927808.7306016618</v>
      </c>
      <c r="Q111" s="15">
        <f>$C111*(1+$D111)^(Q$4-2025)</f>
        <v>6137425.0580729255</v>
      </c>
      <c r="R111" s="15">
        <f>$C111*(1+$D111)^(R$4-2025)</f>
        <v>6354453.7375176447</v>
      </c>
      <c r="S111" s="15">
        <f>$C111*(1+$D111)^(S$4-2025)</f>
        <v>6579156.8809689861</v>
      </c>
      <c r="T111" s="15">
        <f>$C111*(1+$D111)^(T$4-2025)</f>
        <v>6811805.8691400392</v>
      </c>
      <c r="U111" s="15">
        <f>$C111*(1+$D111)^(U$4-2025)</f>
        <v>7052681.6791784326</v>
      </c>
      <c r="V111" s="15">
        <f>$C111*(1+$D111)^(V$4-2025)</f>
        <v>7302075.224010841</v>
      </c>
      <c r="W111" s="15">
        <f>$C111*(1+$D111)^(W$4-2025)</f>
        <v>7560287.7036872404</v>
      </c>
      <c r="X111" s="15">
        <f>$C111*(1+$D111)^(X$4-2025)</f>
        <v>7827630.9691492189</v>
      </c>
    </row>
    <row r="112" spans="1:24">
      <c r="A112" s="24" t="str">
        <f>'Historical FY16-FY25'!A112</f>
        <v>Fredericksburg City</v>
      </c>
      <c r="B112" s="24" t="str">
        <f>'Historical FY16-FY25'!B112</f>
        <v>City</v>
      </c>
      <c r="C112" s="25">
        <f>'Historical FY16-FY25'!H112</f>
        <v>20851192</v>
      </c>
      <c r="D112" s="19">
        <f>MIN(Assumptions!$B$27,MAX(Assumptions!$B$26,Assumptions!$B$24+Assumptions!$B$25*('Historical FY16-FY25'!J112-Assumptions!$B$20)))</f>
        <v>4.4958724537281003E-2</v>
      </c>
      <c r="E112" s="18">
        <f>$C112*(1+$D112)^(E$4-2025)</f>
        <v>21788634.99740196</v>
      </c>
      <c r="F112" s="18">
        <f>$C112*(1+$D112)^(F$4-2025)</f>
        <v>22768224.236293517</v>
      </c>
      <c r="G112" s="18">
        <f>$C112*(1+$D112)^(G$4-2025)</f>
        <v>23791854.557936084</v>
      </c>
      <c r="H112" s="18">
        <f>$C112*(1+$D112)^(H$4-2025)</f>
        <v>24861505.993237391</v>
      </c>
      <c r="I112" s="18">
        <f>$C112*(1+$D112)^(I$4-2025)</f>
        <v>25979247.592769314</v>
      </c>
      <c r="J112" s="18">
        <f>$C112*(1+$D112)^(J$4-2025)</f>
        <v>27147241.428978451</v>
      </c>
      <c r="K112" s="18">
        <f>$C112*(1+$D112)^(K$4-2025)</f>
        <v>28367746.778330956</v>
      </c>
      <c r="L112" s="18">
        <f>$C112*(1+$D112)^(L$4-2025)</f>
        <v>29643124.491481286</v>
      </c>
      <c r="M112" s="18">
        <f>$C112*(1+$D112)^(M$4-2025)</f>
        <v>30975841.559918124</v>
      </c>
      <c r="N112" s="18">
        <f>$C112*(1+$D112)^(N$4-2025)</f>
        <v>32368475.887920942</v>
      </c>
      <c r="O112" s="18">
        <f>$C112*(1+$D112)^(O$4-2025)</f>
        <v>33823721.279057607</v>
      </c>
      <c r="P112" s="18">
        <f>$C112*(1+$D112)^(P$4-2025)</f>
        <v>35344392.646868534</v>
      </c>
      <c r="Q112" s="18">
        <f>$C112*(1+$D112)^(Q$4-2025)</f>
        <v>36933431.459816605</v>
      </c>
      <c r="R112" s="18">
        <f>$C112*(1+$D112)^(R$4-2025)</f>
        <v>38593911.431035049</v>
      </c>
      <c r="S112" s="18">
        <f>$C112*(1+$D112)^(S$4-2025)</f>
        <v>40329044.463879175</v>
      </c>
      <c r="T112" s="18">
        <f>$C112*(1+$D112)^(T$4-2025)</f>
        <v>42142186.86478249</v>
      </c>
      <c r="U112" s="18">
        <f>$C112*(1+$D112)^(U$4-2025)</f>
        <v>44036845.835434869</v>
      </c>
      <c r="V112" s="18">
        <f>$C112*(1+$D112)^(V$4-2025)</f>
        <v>46016686.256840907</v>
      </c>
      <c r="W112" s="18">
        <f>$C112*(1+$D112)^(W$4-2025)</f>
        <v>48085537.778380699</v>
      </c>
      <c r="X112" s="18">
        <f>$C112*(1+$D112)^(X$4-2025)</f>
        <v>50247402.225585938</v>
      </c>
    </row>
    <row r="113" spans="1:24">
      <c r="A113" s="22" t="str">
        <f>'Historical FY16-FY25'!A113</f>
        <v>Galax City</v>
      </c>
      <c r="B113" s="22" t="str">
        <f>'Historical FY16-FY25'!B113</f>
        <v>City</v>
      </c>
      <c r="C113" s="23">
        <f>'Historical FY16-FY25'!H113</f>
        <v>4619914</v>
      </c>
      <c r="D113" s="10">
        <f>MIN(Assumptions!$B$27,MAX(Assumptions!$B$26,Assumptions!$B$24+Assumptions!$B$25*('Historical FY16-FY25'!J113-Assumptions!$B$20)))</f>
        <v>4.6383733686508055E-2</v>
      </c>
      <c r="E113" s="15">
        <f>$C113*(1+$D113)^(E$4-2025)</f>
        <v>4834202.86063057</v>
      </c>
      <c r="F113" s="15">
        <f>$C113*(1+$D113)^(F$4-2025)</f>
        <v>5058431.2387046143</v>
      </c>
      <c r="G113" s="15">
        <f>$C113*(1+$D113)^(G$4-2025)</f>
        <v>5293060.1661522016</v>
      </c>
      <c r="H113" s="15">
        <f>$C113*(1+$D113)^(H$4-2025)</f>
        <v>5538572.0592856705</v>
      </c>
      <c r="I113" s="15">
        <f>$C113*(1+$D113)^(I$4-2025)</f>
        <v>5795471.7106871121</v>
      </c>
      <c r="J113" s="15">
        <f>$C113*(1+$D113)^(J$4-2025)</f>
        <v>6064287.3271033149</v>
      </c>
      <c r="K113" s="15">
        <f>$C113*(1+$D113)^(K$4-2025)</f>
        <v>6345571.6154821403</v>
      </c>
      <c r="L113" s="15">
        <f>$C113*(1+$D113)^(L$4-2025)</f>
        <v>6639902.9193833293</v>
      </c>
      <c r="M113" s="15">
        <f>$C113*(1+$D113)^(M$4-2025)</f>
        <v>6947886.4081002735</v>
      </c>
      <c r="N113" s="15">
        <f>$C113*(1+$D113)^(N$4-2025)</f>
        <v>7270155.3209377062</v>
      </c>
      <c r="O113" s="15">
        <f>$C113*(1+$D113)^(O$4-2025)</f>
        <v>7607372.2692036293</v>
      </c>
      <c r="P113" s="15">
        <f>$C113*(1+$D113)^(P$4-2025)</f>
        <v>7960230.5985924993</v>
      </c>
      <c r="Q113" s="15">
        <f>$C113*(1+$D113)^(Q$4-2025)</f>
        <v>8329455.814760806</v>
      </c>
      <c r="R113" s="15">
        <f>$C113*(1+$D113)^(R$4-2025)</f>
        <v>8715807.0750262085</v>
      </c>
      <c r="S113" s="15">
        <f>$C113*(1+$D113)^(S$4-2025)</f>
        <v>9120078.7492572051</v>
      </c>
      <c r="T113" s="15">
        <f>$C113*(1+$D113)^(T$4-2025)</f>
        <v>9543102.053162735</v>
      </c>
      <c r="U113" s="15">
        <f>$C113*(1+$D113)^(U$4-2025)</f>
        <v>9985746.7573398035</v>
      </c>
      <c r="V113" s="15">
        <f>$C113*(1+$D113)^(V$4-2025)</f>
        <v>10448922.975593165</v>
      </c>
      <c r="W113" s="15">
        <f>$C113*(1+$D113)^(W$4-2025)</f>
        <v>10933583.036203913</v>
      </c>
      <c r="X113" s="15">
        <f>$C113*(1+$D113)^(X$4-2025)</f>
        <v>11440723.439994518</v>
      </c>
    </row>
    <row r="114" spans="1:24">
      <c r="A114" s="24" t="str">
        <f>'Historical FY16-FY25'!A114</f>
        <v>Hampton City</v>
      </c>
      <c r="B114" s="24" t="str">
        <f>'Historical FY16-FY25'!B114</f>
        <v>City</v>
      </c>
      <c r="C114" s="25">
        <f>'Historical FY16-FY25'!H114</f>
        <v>46368550</v>
      </c>
      <c r="D114" s="19">
        <f>MIN(Assumptions!$B$27,MAX(Assumptions!$B$26,Assumptions!$B$24+Assumptions!$B$25*('Historical FY16-FY25'!J114-Assumptions!$B$20)))</f>
        <v>4.2123815404941145E-2</v>
      </c>
      <c r="E114" s="18">
        <f>$C114*(1+$D114)^(E$4-2025)</f>
        <v>48321770.240794778</v>
      </c>
      <c r="F114" s="18">
        <f>$C114*(1+$D114)^(F$4-2025)</f>
        <v>50357267.570457995</v>
      </c>
      <c r="G114" s="18">
        <f>$C114*(1+$D114)^(G$4-2025)</f>
        <v>52478507.813893192</v>
      </c>
      <c r="H114" s="18">
        <f>$C114*(1+$D114)^(H$4-2025)</f>
        <v>54689102.789772384</v>
      </c>
      <c r="I114" s="18">
        <f>$C114*(1+$D114)^(I$4-2025)</f>
        <v>56992816.460350595</v>
      </c>
      <c r="J114" s="18">
        <f>$C114*(1+$D114)^(J$4-2025)</f>
        <v>59393571.340334103</v>
      </c>
      <c r="K114" s="18">
        <f>$C114*(1+$D114)^(K$4-2025)</f>
        <v>61895455.175714538</v>
      </c>
      <c r="L114" s="18">
        <f>$C114*(1+$D114)^(L$4-2025)</f>
        <v>64502727.903941132</v>
      </c>
      <c r="M114" s="18">
        <f>$C114*(1+$D114)^(M$4-2025)</f>
        <v>67219828.907281891</v>
      </c>
      <c r="N114" s="18">
        <f>$C114*(1+$D114)^(N$4-2025)</f>
        <v>70051384.571723953</v>
      </c>
      <c r="O114" s="18">
        <f>$C114*(1+$D114)^(O$4-2025)</f>
        <v>73002216.164283782</v>
      </c>
      <c r="P114" s="18">
        <f>$C114*(1+$D114)^(P$4-2025)</f>
        <v>76077348.042139679</v>
      </c>
      <c r="Q114" s="18">
        <f>$C114*(1+$D114)^(Q$4-2025)</f>
        <v>79282016.20756422</v>
      </c>
      <c r="R114" s="18">
        <f>$C114*(1+$D114)^(R$4-2025)</f>
        <v>82621677.223223209</v>
      </c>
      <c r="S114" s="18">
        <f>$C114*(1+$D114)^(S$4-2025)</f>
        <v>86102017.503020883</v>
      </c>
      <c r="T114" s="18">
        <f>$C114*(1+$D114)^(T$4-2025)</f>
        <v>89728962.994311139</v>
      </c>
      <c r="U114" s="18">
        <f>$C114*(1+$D114)^(U$4-2025)</f>
        <v>93508689.26796028</v>
      </c>
      <c r="V114" s="18">
        <f>$C114*(1+$D114)^(V$4-2025)</f>
        <v>97447632.033441842</v>
      </c>
      <c r="W114" s="18">
        <f>$C114*(1+$D114)^(W$4-2025)</f>
        <v>101552498.09686717</v>
      </c>
      <c r="X114" s="18">
        <f>$C114*(1+$D114)^(X$4-2025)</f>
        <v>105830276.78061022</v>
      </c>
    </row>
    <row r="115" spans="1:24">
      <c r="A115" s="22" t="str">
        <f>'Historical FY16-FY25'!A115</f>
        <v>Harrisonburg City</v>
      </c>
      <c r="B115" s="22" t="str">
        <f>'Historical FY16-FY25'!B115</f>
        <v>City</v>
      </c>
      <c r="C115" s="23">
        <f>'Historical FY16-FY25'!H115</f>
        <v>26595686</v>
      </c>
      <c r="D115" s="10">
        <f>MIN(Assumptions!$B$27,MAX(Assumptions!$B$26,Assumptions!$B$24+Assumptions!$B$25*('Historical FY16-FY25'!J115-Assumptions!$B$20)))</f>
        <v>4.5056812225271692E-2</v>
      </c>
      <c r="E115" s="15">
        <f>$C115*(1+$D115)^(E$4-2025)</f>
        <v>27794002.830104288</v>
      </c>
      <c r="F115" s="15">
        <f>$C115*(1+$D115)^(F$4-2025)</f>
        <v>29046311.996608961</v>
      </c>
      <c r="G115" s="15">
        <f>$C115*(1+$D115)^(G$4-2025)</f>
        <v>30355046.22207683</v>
      </c>
      <c r="H115" s="15">
        <f>$C115*(1+$D115)^(H$4-2025)</f>
        <v>31722747.839794386</v>
      </c>
      <c r="I115" s="15">
        <f>$C115*(1+$D115)^(I$4-2025)</f>
        <v>33152073.732481647</v>
      </c>
      <c r="J115" s="15">
        <f>$C115*(1+$D115)^(J$4-2025)</f>
        <v>34645800.493524432</v>
      </c>
      <c r="K115" s="15">
        <f>$C115*(1+$D115)^(K$4-2025)</f>
        <v>36206829.820755385</v>
      </c>
      <c r="L115" s="15">
        <f>$C115*(1+$D115)^(L$4-2025)</f>
        <v>37838194.153261527</v>
      </c>
      <c r="M115" s="15">
        <f>$C115*(1+$D115)^(M$4-2025)</f>
        <v>39543062.562168404</v>
      </c>
      <c r="N115" s="15">
        <f>$C115*(1+$D115)^(N$4-2025)</f>
        <v>41324746.906844199</v>
      </c>
      <c r="O115" s="15">
        <f>$C115*(1+$D115)^(O$4-2025)</f>
        <v>43186708.268482752</v>
      </c>
      <c r="P115" s="15">
        <f>$C115*(1+$D115)^(P$4-2025)</f>
        <v>45132563.673563361</v>
      </c>
      <c r="Q115" s="15">
        <f>$C115*(1+$D115)^(Q$4-2025)</f>
        <v>47166093.120248228</v>
      </c>
      <c r="R115" s="15">
        <f>$C115*(1+$D115)^(R$4-2025)</f>
        <v>49291246.92136693</v>
      </c>
      <c r="S115" s="15">
        <f>$C115*(1+$D115)^(S$4-2025)</f>
        <v>51512153.378252454</v>
      </c>
      <c r="T115" s="15">
        <f>$C115*(1+$D115)^(T$4-2025)</f>
        <v>53833126.800335772</v>
      </c>
      <c r="U115" s="15">
        <f>$C115*(1+$D115)^(U$4-2025)</f>
        <v>56258675.886077747</v>
      </c>
      <c r="V115" s="15">
        <f>$C115*(1+$D115)^(V$4-2025)</f>
        <v>58793512.481519163</v>
      </c>
      <c r="W115" s="15">
        <f>$C115*(1+$D115)^(W$4-2025)</f>
        <v>61442560.733463131</v>
      </c>
      <c r="X115" s="15">
        <f>$C115*(1+$D115)^(X$4-2025)</f>
        <v>64210966.655070633</v>
      </c>
    </row>
    <row r="116" spans="1:24">
      <c r="A116" s="24" t="str">
        <f>'Historical FY16-FY25'!A116</f>
        <v>Hopewell City</v>
      </c>
      <c r="B116" s="24" t="str">
        <f>'Historical FY16-FY25'!B116</f>
        <v>City</v>
      </c>
      <c r="C116" s="25">
        <f>'Historical FY16-FY25'!H116</f>
        <v>7240518</v>
      </c>
      <c r="D116" s="19">
        <f>MIN(Assumptions!$B$27,MAX(Assumptions!$B$26,Assumptions!$B$24+Assumptions!$B$25*('Historical FY16-FY25'!J116-Assumptions!$B$20)))</f>
        <v>3.7257163181918074E-2</v>
      </c>
      <c r="E116" s="18">
        <f>$C116*(1+$D116)^(E$4-2025)</f>
        <v>7510279.1606476149</v>
      </c>
      <c r="F116" s="18">
        <f>$C116*(1+$D116)^(F$4-2025)</f>
        <v>7790090.8568776222</v>
      </c>
      <c r="G116" s="18">
        <f>$C116*(1+$D116)^(G$4-2025)</f>
        <v>8080327.5431342795</v>
      </c>
      <c r="H116" s="18">
        <f>$C116*(1+$D116)^(H$4-2025)</f>
        <v>8381377.6249721805</v>
      </c>
      <c r="I116" s="18">
        <f>$C116*(1+$D116)^(I$4-2025)</f>
        <v>8693643.9788350463</v>
      </c>
      <c r="J116" s="18">
        <f>$C116*(1+$D116)^(J$4-2025)</f>
        <v>9017544.4912000038</v>
      </c>
      <c r="K116" s="18">
        <f>$C116*(1+$D116)^(K$4-2025)</f>
        <v>9353512.6178088468</v>
      </c>
      <c r="L116" s="18">
        <f>$C116*(1+$D116)^(L$4-2025)</f>
        <v>9701997.9637346808</v>
      </c>
      <c r="M116" s="18">
        <f>$C116*(1+$D116)^(M$4-2025)</f>
        <v>10063466.88506018</v>
      </c>
      <c r="N116" s="18">
        <f>$C116*(1+$D116)^(N$4-2025)</f>
        <v>10438403.112972697</v>
      </c>
      <c r="O116" s="18">
        <f>$C116*(1+$D116)^(O$4-2025)</f>
        <v>10827308.401111363</v>
      </c>
      <c r="P116" s="18">
        <f>$C116*(1+$D116)^(P$4-2025)</f>
        <v>11230703.197032521</v>
      </c>
      <c r="Q116" s="18">
        <f>$C116*(1+$D116)^(Q$4-2025)</f>
        <v>11649127.33869205</v>
      </c>
      <c r="R116" s="18">
        <f>$C116*(1+$D116)^(R$4-2025)</f>
        <v>12083140.776876643</v>
      </c>
      <c r="S116" s="18">
        <f>$C116*(1+$D116)^(S$4-2025)</f>
        <v>12533324.324550824</v>
      </c>
      <c r="T116" s="18">
        <f>$C116*(1+$D116)^(T$4-2025)</f>
        <v>13000280.434122518</v>
      </c>
      <c r="U116" s="18">
        <f>$C116*(1+$D116)^(U$4-2025)</f>
        <v>13484634.003667315</v>
      </c>
      <c r="V116" s="18">
        <f>$C116*(1+$D116)^(V$4-2025)</f>
        <v>13987033.213190392</v>
      </c>
      <c r="W116" s="18">
        <f>$C116*(1+$D116)^(W$4-2025)</f>
        <v>14508150.392045135</v>
      </c>
      <c r="X116" s="18">
        <f>$C116*(1+$D116)^(X$4-2025)</f>
        <v>15048682.918669367</v>
      </c>
    </row>
    <row r="117" spans="1:24">
      <c r="A117" s="22" t="str">
        <f>'Historical FY16-FY25'!A117</f>
        <v>Lexington City</v>
      </c>
      <c r="B117" s="22" t="str">
        <f>'Historical FY16-FY25'!B117</f>
        <v>City</v>
      </c>
      <c r="C117" s="23">
        <f>'Historical FY16-FY25'!H117</f>
        <v>2108302</v>
      </c>
      <c r="D117" s="10">
        <f>MIN(Assumptions!$B$27,MAX(Assumptions!$B$26,Assumptions!$B$24+Assumptions!$B$25*('Historical FY16-FY25'!J117-Assumptions!$B$20)))</f>
        <v>3.6352796472884918E-2</v>
      </c>
      <c r="E117" s="15">
        <f>$C117*(1+$D117)^(E$4-2025)</f>
        <v>2184944.6735093761</v>
      </c>
      <c r="F117" s="15">
        <f>$C117*(1+$D117)^(F$4-2025)</f>
        <v>2264373.5225299764</v>
      </c>
      <c r="G117" s="15">
        <f>$C117*(1+$D117)^(G$4-2025)</f>
        <v>2346689.8323330982</v>
      </c>
      <c r="H117" s="15">
        <f>$C117*(1+$D117)^(H$4-2025)</f>
        <v>2431998.5701928916</v>
      </c>
      <c r="I117" s="15">
        <f>$C117*(1+$D117)^(I$4-2025)</f>
        <v>2520408.519237461</v>
      </c>
      <c r="J117" s="15">
        <f>$C117*(1+$D117)^(J$4-2025)</f>
        <v>2612032.4171658261</v>
      </c>
      <c r="K117" s="15">
        <f>$C117*(1+$D117)^(K$4-2025)</f>
        <v>2706987.1000076327</v>
      </c>
      <c r="L117" s="15">
        <f>$C117*(1+$D117)^(L$4-2025)</f>
        <v>2805393.651108935</v>
      </c>
      <c r="M117" s="15">
        <f>$C117*(1+$D117)^(M$4-2025)</f>
        <v>2907377.5555340215</v>
      </c>
      <c r="N117" s="15">
        <f>$C117*(1+$D117)^(N$4-2025)</f>
        <v>3013068.8600801835</v>
      </c>
      <c r="O117" s="15">
        <f>$C117*(1+$D117)^(O$4-2025)</f>
        <v>3122602.3391094655</v>
      </c>
      <c r="P117" s="15">
        <f>$C117*(1+$D117)^(P$4-2025)</f>
        <v>3236117.6664088666</v>
      </c>
      <c r="Q117" s="15">
        <f>$C117*(1+$D117)^(Q$4-2025)</f>
        <v>3353759.5932981353</v>
      </c>
      <c r="R117" s="15">
        <f>$C117*(1+$D117)^(R$4-2025)</f>
        <v>3475678.1332122879</v>
      </c>
      <c r="S117" s="15">
        <f>$C117*(1+$D117)^(S$4-2025)</f>
        <v>3602028.7529942105</v>
      </c>
      <c r="T117" s="15">
        <f>$C117*(1+$D117)^(T$4-2025)</f>
        <v>3732972.5711412882</v>
      </c>
      <c r="U117" s="15">
        <f>$C117*(1+$D117)^(U$4-2025)</f>
        <v>3868676.5632588496</v>
      </c>
      <c r="V117" s="15">
        <f>$C117*(1+$D117)^(V$4-2025)</f>
        <v>4009313.7749824184</v>
      </c>
      <c r="W117" s="15">
        <f>$C117*(1+$D117)^(W$4-2025)</f>
        <v>4155063.5426402884</v>
      </c>
      <c r="X117" s="15">
        <f>$C117*(1+$D117)^(X$4-2025)</f>
        <v>4306111.7219377942</v>
      </c>
    </row>
    <row r="118" spans="1:24">
      <c r="A118" s="24" t="str">
        <f>'Historical FY16-FY25'!A118</f>
        <v>Lynchburg City</v>
      </c>
      <c r="B118" s="24" t="str">
        <f>'Historical FY16-FY25'!B118</f>
        <v>City</v>
      </c>
      <c r="C118" s="25">
        <f>'Historical FY16-FY25'!H118</f>
        <v>33859273</v>
      </c>
      <c r="D118" s="19">
        <f>MIN(Assumptions!$B$27,MAX(Assumptions!$B$26,Assumptions!$B$24+Assumptions!$B$25*('Historical FY16-FY25'!J118-Assumptions!$B$20)))</f>
        <v>4.2941516804270496E-2</v>
      </c>
      <c r="E118" s="18">
        <f>$C118*(1+$D118)^(E$4-2025)</f>
        <v>35313241.54050988</v>
      </c>
      <c r="F118" s="18">
        <f>$C118*(1+$D118)^(F$4-2025)</f>
        <v>36829645.695534945</v>
      </c>
      <c r="G118" s="18">
        <f>$C118*(1+$D118)^(G$4-2025)</f>
        <v>38411166.545065083</v>
      </c>
      <c r="H118" s="18">
        <f>$C118*(1+$D118)^(H$4-2025)</f>
        <v>40060600.298731625</v>
      </c>
      <c r="I118" s="18">
        <f>$C118*(1+$D118)^(I$4-2025)</f>
        <v>41780863.239648767</v>
      </c>
      <c r="J118" s="18">
        <f>$C118*(1+$D118)^(J$4-2025)</f>
        <v>43574996.880551063</v>
      </c>
      <c r="K118" s="18">
        <f>$C118*(1+$D118)^(K$4-2025)</f>
        <v>45446173.341343284</v>
      </c>
      <c r="L118" s="18">
        <f>$C118*(1+$D118)^(L$4-2025)</f>
        <v>47397700.957570359</v>
      </c>
      <c r="M118" s="18">
        <f>$C118*(1+$D118)^(M$4-2025)</f>
        <v>49433030.129723646</v>
      </c>
      <c r="N118" s="18">
        <f>$C118*(1+$D118)^(N$4-2025)</f>
        <v>51555759.423725188</v>
      </c>
      <c r="O118" s="18">
        <f>$C118*(1+$D118)^(O$4-2025)</f>
        <v>53769641.933375999</v>
      </c>
      <c r="P118" s="18">
        <f>$C118*(1+$D118)^(P$4-2025)</f>
        <v>56078591.916017674</v>
      </c>
      <c r="Q118" s="18">
        <f>$C118*(1+$D118)^(Q$4-2025)</f>
        <v>58486691.713139169</v>
      </c>
      <c r="R118" s="18">
        <f>$C118*(1+$D118)^(R$4-2025)</f>
        <v>60998198.968165107</v>
      </c>
      <c r="S118" s="18">
        <f>$C118*(1+$D118)^(S$4-2025)</f>
        <v>63617554.154186808</v>
      </c>
      <c r="T118" s="18">
        <f>$C118*(1+$D118)^(T$4-2025)</f>
        <v>66349388.424945392</v>
      </c>
      <c r="U118" s="18">
        <f>$C118*(1+$D118)^(U$4-2025)</f>
        <v>69198531.802948251</v>
      </c>
      <c r="V118" s="18">
        <f>$C118*(1+$D118)^(V$4-2025)</f>
        <v>72170021.719195396</v>
      </c>
      <c r="W118" s="18">
        <f>$C118*(1+$D118)^(W$4-2025)</f>
        <v>75269111.919614777</v>
      </c>
      <c r="X118" s="18">
        <f>$C118*(1+$D118)^(X$4-2025)</f>
        <v>78501281.753953427</v>
      </c>
    </row>
    <row r="119" spans="1:24">
      <c r="A119" s="22" t="str">
        <f>'Historical FY16-FY25'!A119</f>
        <v>Manassas City</v>
      </c>
      <c r="B119" s="22" t="str">
        <f>'Historical FY16-FY25'!B119</f>
        <v>City</v>
      </c>
      <c r="C119" s="23">
        <f>'Historical FY16-FY25'!H119</f>
        <v>23433870</v>
      </c>
      <c r="D119" s="10">
        <f>MIN(Assumptions!$B$27,MAX(Assumptions!$B$26,Assumptions!$B$24+Assumptions!$B$25*('Historical FY16-FY25'!J119-Assumptions!$B$20)))</f>
        <v>6.0248104372083167E-2</v>
      </c>
      <c r="E119" s="15">
        <f>$C119*(1+$D119)^(E$4-2025)</f>
        <v>24845716.245601825</v>
      </c>
      <c r="F119" s="15">
        <f>$C119*(1+$D119)^(F$4-2025)</f>
        <v>26342623.551166005</v>
      </c>
      <c r="G119" s="15">
        <f>$C119*(1+$D119)^(G$4-2025)</f>
        <v>27929716.684311152</v>
      </c>
      <c r="H119" s="15">
        <f>$C119*(1+$D119)^(H$4-2025)</f>
        <v>29612429.170190237</v>
      </c>
      <c r="I119" s="15">
        <f>$C119*(1+$D119)^(I$4-2025)</f>
        <v>31396521.893546775</v>
      </c>
      <c r="J119" s="15">
        <f>$C119*(1+$D119)^(J$4-2025)</f>
        <v>33288102.821509574</v>
      </c>
      <c r="K119" s="15">
        <f>$C119*(1+$D119)^(K$4-2025)</f>
        <v>35293647.914648518</v>
      </c>
      <c r="L119" s="15">
        <f>$C119*(1+$D119)^(L$4-2025)</f>
        <v>37420023.297881812</v>
      </c>
      <c r="M119" s="15">
        <f>$C119*(1+$D119)^(M$4-2025)</f>
        <v>39674508.767138377</v>
      </c>
      <c r="N119" s="15">
        <f>$C119*(1+$D119)^(N$4-2025)</f>
        <v>42064822.712252058</v>
      </c>
      <c r="O119" s="15">
        <f>$C119*(1+$D119)^(O$4-2025)</f>
        <v>44599148.541412987</v>
      </c>
      <c r="P119" s="15">
        <f>$C119*(1+$D119)^(P$4-2025)</f>
        <v>47286162.697642073</v>
      </c>
      <c r="Q119" s="15">
        <f>$C119*(1+$D119)^(Q$4-2025)</f>
        <v>50135064.363204911</v>
      </c>
      <c r="R119" s="15">
        <f>$C119*(1+$D119)^(R$4-2025)</f>
        <v>53155606.953660391</v>
      </c>
      <c r="S119" s="15">
        <f>$C119*(1+$D119)^(S$4-2025)</f>
        <v>56358131.509365939</v>
      </c>
      <c r="T119" s="15">
        <f>$C119*(1+$D119)^(T$4-2025)</f>
        <v>59753602.098757803</v>
      </c>
      <c r="U119" s="15">
        <f>$C119*(1+$D119)^(U$4-2025)</f>
        <v>63353643.35461168</v>
      </c>
      <c r="V119" s="15">
        <f>$C119*(1+$D119)^(V$4-2025)</f>
        <v>67170580.271792069</v>
      </c>
      <c r="W119" s="15">
        <f>$C119*(1+$D119)^(W$4-2025)</f>
        <v>71217480.402740374</v>
      </c>
      <c r="X119" s="15">
        <f>$C119*(1+$D119)^(X$4-2025)</f>
        <v>75508198.595161453</v>
      </c>
    </row>
    <row r="120" spans="1:24">
      <c r="A120" s="24" t="str">
        <f>'Historical FY16-FY25'!A120</f>
        <v>Manassas Park City</v>
      </c>
      <c r="B120" s="24" t="str">
        <f>'Historical FY16-FY25'!B120</f>
        <v>City</v>
      </c>
      <c r="C120" s="25">
        <f>'Historical FY16-FY25'!H120</f>
        <v>6295243</v>
      </c>
      <c r="D120" s="19">
        <f>MIN(Assumptions!$B$27,MAX(Assumptions!$B$26,Assumptions!$B$24+Assumptions!$B$25*('Historical FY16-FY25'!J120-Assumptions!$B$20)))</f>
        <v>3.7069458549569112E-2</v>
      </c>
      <c r="E120" s="18">
        <f>$C120*(1+$D120)^(E$4-2025)</f>
        <v>6528604.249447966</v>
      </c>
      <c r="F120" s="18">
        <f>$C120*(1+$D120)^(F$4-2025)</f>
        <v>6770616.0740594184</v>
      </c>
      <c r="G120" s="18">
        <f>$C120*(1+$D120)^(G$4-2025)</f>
        <v>7021599.1459718114</v>
      </c>
      <c r="H120" s="18">
        <f>$C120*(1+$D120)^(H$4-2025)</f>
        <v>7281886.0244651046</v>
      </c>
      <c r="I120" s="18">
        <f>$C120*(1+$D120)^(I$4-2025)</f>
        <v>7551821.5966117019</v>
      </c>
      <c r="J120" s="18">
        <f>$C120*(1+$D120)^(J$4-2025)</f>
        <v>7831763.5342610404</v>
      </c>
      <c r="K120" s="18">
        <f>$C120*(1+$D120)^(K$4-2025)</f>
        <v>8122082.7679643584</v>
      </c>
      <c r="L120" s="18">
        <f>$C120*(1+$D120)^(L$4-2025)</f>
        <v>8423163.9784675818</v>
      </c>
      <c r="M120" s="18">
        <f>$C120*(1+$D120)^(M$4-2025)</f>
        <v>8735406.1064236108</v>
      </c>
      <c r="N120" s="18">
        <f>$C120*(1+$D120)^(N$4-2025)</f>
        <v>9059222.880999336</v>
      </c>
      <c r="O120" s="18">
        <f>$C120*(1+$D120)^(O$4-2025)</f>
        <v>9395043.36807785</v>
      </c>
      <c r="P120" s="18">
        <f>$C120*(1+$D120)^(P$4-2025)</f>
        <v>9743312.5387822166</v>
      </c>
      <c r="Q120" s="18">
        <f>$C120*(1+$D120)^(Q$4-2025)</f>
        <v>10104491.859074103</v>
      </c>
      <c r="R120" s="18">
        <f>$C120*(1+$D120)^(R$4-2025)</f>
        <v>10479059.901208509</v>
      </c>
      <c r="S120" s="18">
        <f>$C120*(1+$D120)^(S$4-2025)</f>
        <v>10867512.977854813</v>
      </c>
      <c r="T120" s="18">
        <f>$C120*(1+$D120)^(T$4-2025)</f>
        <v>11270365.799724305</v>
      </c>
      <c r="U120" s="18">
        <f>$C120*(1+$D120)^(U$4-2025)</f>
        <v>11688152.157575667</v>
      </c>
      <c r="V120" s="18">
        <f>$C120*(1+$D120)^(V$4-2025)</f>
        <v>12121425.629501978</v>
      </c>
      <c r="W120" s="18">
        <f>$C120*(1+$D120)^(W$4-2025)</f>
        <v>12570760.314436488</v>
      </c>
      <c r="X120" s="18">
        <f>$C120*(1+$D120)^(X$4-2025)</f>
        <v>13036751.592849061</v>
      </c>
    </row>
    <row r="121" spans="1:24">
      <c r="A121" s="22" t="str">
        <f>'Historical FY16-FY25'!A121</f>
        <v>Martinsville City</v>
      </c>
      <c r="B121" s="22" t="str">
        <f>'Historical FY16-FY25'!B121</f>
        <v>City</v>
      </c>
      <c r="C121" s="23">
        <f>'Historical FY16-FY25'!H121</f>
        <v>5011211</v>
      </c>
      <c r="D121" s="10">
        <f>MIN(Assumptions!$B$27,MAX(Assumptions!$B$26,Assumptions!$B$24+Assumptions!$B$25*('Historical FY16-FY25'!J121-Assumptions!$B$20)))</f>
        <v>3.7245569535287126E-2</v>
      </c>
      <c r="E121" s="15">
        <f>$C121*(1+$D121)^(E$4-2025)</f>
        <v>5197856.4077564953</v>
      </c>
      <c r="F121" s="15">
        <f>$C121*(1+$D121)^(F$4-2025)</f>
        <v>5391453.5300260279</v>
      </c>
      <c r="G121" s="15">
        <f>$C121*(1+$D121)^(G$4-2025)</f>
        <v>5592261.287374882</v>
      </c>
      <c r="H121" s="15">
        <f>$C121*(1+$D121)^(H$4-2025)</f>
        <v>5800548.2440132974</v>
      </c>
      <c r="I121" s="15">
        <f>$C121*(1+$D121)^(I$4-2025)</f>
        <v>6016592.9669784829</v>
      </c>
      <c r="J121" s="15">
        <f>$C121*(1+$D121)^(J$4-2025)</f>
        <v>6240684.3986955993</v>
      </c>
      <c r="K121" s="15">
        <f>$C121*(1+$D121)^(K$4-2025)</f>
        <v>6473122.2434149981</v>
      </c>
      <c r="L121" s="15">
        <f>$C121*(1+$D121)^(L$4-2025)</f>
        <v>6714217.3680425249</v>
      </c>
      <c r="M121" s="15">
        <f>$C121*(1+$D121)^(M$4-2025)</f>
        <v>6964292.2178989854</v>
      </c>
      <c r="N121" s="15">
        <f>$C121*(1+$D121)^(N$4-2025)</f>
        <v>7223681.2479648013</v>
      </c>
      <c r="O121" s="15">
        <f>$C121*(1+$D121)^(O$4-2025)</f>
        <v>7492731.3701866241</v>
      </c>
      <c r="P121" s="15">
        <f>$C121*(1+$D121)^(P$4-2025)</f>
        <v>7771802.4174441369</v>
      </c>
      <c r="Q121" s="15">
        <f>$C121*(1+$D121)^(Q$4-2025)</f>
        <v>8061267.6247975649</v>
      </c>
      <c r="R121" s="15">
        <f>$C121*(1+$D121)^(R$4-2025)</f>
        <v>8361514.1286595222</v>
      </c>
      <c r="S121" s="15">
        <f>$C121*(1+$D121)^(S$4-2025)</f>
        <v>8672943.4845587965</v>
      </c>
      <c r="T121" s="15">
        <f>$C121*(1+$D121)^(T$4-2025)</f>
        <v>8995972.2041885462</v>
      </c>
      <c r="U121" s="15">
        <f>$C121*(1+$D121)^(U$4-2025)</f>
        <v>9331032.312457161</v>
      </c>
      <c r="V121" s="15">
        <f>$C121*(1+$D121)^(V$4-2025)</f>
        <v>9678571.9252867959</v>
      </c>
      <c r="W121" s="15">
        <f>$C121*(1+$D121)^(W$4-2025)</f>
        <v>10039055.848932343</v>
      </c>
      <c r="X121" s="15">
        <f>$C121*(1+$D121)^(X$4-2025)</f>
        <v>10412966.201622384</v>
      </c>
    </row>
    <row r="122" spans="1:24">
      <c r="A122" s="24" t="str">
        <f>'Historical FY16-FY25'!A122</f>
        <v>Newport News City</v>
      </c>
      <c r="B122" s="24" t="str">
        <f>'Historical FY16-FY25'!B122</f>
        <v>City</v>
      </c>
      <c r="C122" s="25">
        <f>'Historical FY16-FY25'!H122</f>
        <v>68053179</v>
      </c>
      <c r="D122" s="19">
        <f>MIN(Assumptions!$B$27,MAX(Assumptions!$B$26,Assumptions!$B$24+Assumptions!$B$25*('Historical FY16-FY25'!J122-Assumptions!$B$20)))</f>
        <v>4.074926677691304E-2</v>
      </c>
      <c r="E122" s="18">
        <f>$C122*(1+$D122)^(E$4-2025)</f>
        <v>70826296.146088004</v>
      </c>
      <c r="F122" s="18">
        <f>$C122*(1+$D122)^(F$4-2025)</f>
        <v>73712415.782565594</v>
      </c>
      <c r="G122" s="18">
        <f>$C122*(1+$D122)^(G$4-2025)</f>
        <v>76716142.678060085</v>
      </c>
      <c r="H122" s="18">
        <f>$C122*(1+$D122)^(H$4-2025)</f>
        <v>79842269.242144063</v>
      </c>
      <c r="I122" s="18">
        <f>$C122*(1+$D122)^(I$4-2025)</f>
        <v>83095783.171566308</v>
      </c>
      <c r="J122" s="18">
        <f>$C122*(1+$D122)^(J$4-2025)</f>
        <v>86481875.408060968</v>
      </c>
      <c r="K122" s="18">
        <f>$C122*(1+$D122)^(K$4-2025)</f>
        <v>90005948.420431793</v>
      </c>
      <c r="L122" s="18">
        <f>$C122*(1+$D122)^(L$4-2025)</f>
        <v>93673624.824125022</v>
      </c>
      <c r="M122" s="18">
        <f>$C122*(1+$D122)^(M$4-2025)</f>
        <v>97490756.352043748</v>
      </c>
      <c r="N122" s="18">
        <f>$C122*(1+$D122)^(N$4-2025)</f>
        <v>101463433.1909162</v>
      </c>
      <c r="O122" s="18">
        <f>$C122*(1+$D122)^(O$4-2025)</f>
        <v>105597993.69811432</v>
      </c>
      <c r="P122" s="18">
        <f>$C122*(1+$D122)^(P$4-2025)</f>
        <v>109901034.51442555</v>
      </c>
      <c r="Q122" s="18">
        <f>$C122*(1+$D122)^(Q$4-2025)</f>
        <v>114379421.08891259</v>
      </c>
      <c r="R122" s="18">
        <f>$C122*(1+$D122)^(R$4-2025)</f>
        <v>119040298.63265353</v>
      </c>
      <c r="S122" s="18">
        <f>$C122*(1+$D122)^(S$4-2025)</f>
        <v>123891103.51883891</v>
      </c>
      <c r="T122" s="18">
        <f>$C122*(1+$D122)^(T$4-2025)</f>
        <v>128939575.14741419</v>
      </c>
      <c r="U122" s="18">
        <f>$C122*(1+$D122)^(U$4-2025)</f>
        <v>134193768.29319799</v>
      </c>
      <c r="V122" s="18">
        <f>$C122*(1+$D122)^(V$4-2025)</f>
        <v>139662065.95717674</v>
      </c>
      <c r="W122" s="18">
        <f>$C122*(1+$D122)^(W$4-2025)</f>
        <v>145353192.74148056</v>
      </c>
      <c r="X122" s="18">
        <f>$C122*(1+$D122)^(X$4-2025)</f>
        <v>151276228.76937917</v>
      </c>
    </row>
    <row r="123" spans="1:24">
      <c r="A123" s="22" t="str">
        <f>'Historical FY16-FY25'!A123</f>
        <v>Norfolk City</v>
      </c>
      <c r="B123" s="22" t="str">
        <f>'Historical FY16-FY25'!B123</f>
        <v>City</v>
      </c>
      <c r="C123" s="23">
        <f>'Historical FY16-FY25'!H123</f>
        <v>82205631</v>
      </c>
      <c r="D123" s="10">
        <f>MIN(Assumptions!$B$27,MAX(Assumptions!$B$26,Assumptions!$B$24+Assumptions!$B$25*('Historical FY16-FY25'!J123-Assumptions!$B$20)))</f>
        <v>4.1826104398786201E-2</v>
      </c>
      <c r="E123" s="15">
        <f>$C123*(1+$D123)^(E$4-2025)</f>
        <v>85643972.304374099</v>
      </c>
      <c r="F123" s="15">
        <f>$C123*(1+$D123)^(F$4-2025)</f>
        <v>89226126.031103596</v>
      </c>
      <c r="G123" s="15">
        <f>$C123*(1+$D123)^(G$4-2025)</f>
        <v>92958107.293579787</v>
      </c>
      <c r="H123" s="15">
        <f>$C123*(1+$D123)^(H$4-2025)</f>
        <v>96846182.793954611</v>
      </c>
      <c r="I123" s="15">
        <f>$C123*(1+$D123)^(I$4-2025)</f>
        <v>100896881.34611849</v>
      </c>
      <c r="J123" s="15">
        <f>$C123*(1+$D123)^(J$4-2025)</f>
        <v>105117004.83881319</v>
      </c>
      <c r="K123" s="15">
        <f>$C123*(1+$D123)^(K$4-2025)</f>
        <v>109513639.6572891</v>
      </c>
      <c r="L123" s="15">
        <f>$C123*(1+$D123)^(L$4-2025)</f>
        <v>114094168.58268592</v>
      </c>
      <c r="M123" s="15">
        <f>$C123*(1+$D123)^(M$4-2025)</f>
        <v>118866283.18911806</v>
      </c>
      <c r="N123" s="15">
        <f>$C123*(1+$D123)^(N$4-2025)</f>
        <v>123837996.75928178</v>
      </c>
      <c r="O123" s="15">
        <f>$C123*(1+$D123)^(O$4-2025)</f>
        <v>129017657.74027205</v>
      </c>
      <c r="P123" s="15">
        <f>$C123*(1+$D123)^(P$4-2025)</f>
        <v>134413963.76220351</v>
      </c>
      <c r="Q123" s="15">
        <f>$C123*(1+$D123)^(Q$4-2025)</f>
        <v>140035976.2431761</v>
      </c>
      <c r="R123" s="15">
        <f>$C123*(1+$D123)^(R$4-2025)</f>
        <v>145893135.60510916</v>
      </c>
      <c r="S123" s="15">
        <f>$C123*(1+$D123)^(S$4-2025)</f>
        <v>151995277.12599471</v>
      </c>
      <c r="T123" s="15">
        <f>$C123*(1+$D123)^(T$4-2025)</f>
        <v>158352647.45518899</v>
      </c>
      <c r="U123" s="15">
        <f>$C123*(1+$D123)^(U$4-2025)</f>
        <v>164975921.81947392</v>
      </c>
      <c r="V123" s="15">
        <f>$C123*(1+$D123)^(V$4-2025)</f>
        <v>171876221.94878125</v>
      </c>
      <c r="W123" s="15">
        <f>$C123*(1+$D123)^(W$4-2025)</f>
        <v>179065134.7516799</v>
      </c>
      <c r="X123" s="15">
        <f>$C123*(1+$D123)^(X$4-2025)</f>
        <v>186554731.77198634</v>
      </c>
    </row>
    <row r="124" spans="1:24">
      <c r="A124" s="24" t="str">
        <f>'Historical FY16-FY25'!A124</f>
        <v>Norton City</v>
      </c>
      <c r="B124" s="24" t="str">
        <f>'Historical FY16-FY25'!B124</f>
        <v>City</v>
      </c>
      <c r="C124" s="25">
        <f>'Historical FY16-FY25'!H124</f>
        <v>3077703</v>
      </c>
      <c r="D124" s="19">
        <f>MIN(Assumptions!$B$27,MAX(Assumptions!$B$26,Assumptions!$B$24+Assumptions!$B$25*('Historical FY16-FY25'!J124-Assumptions!$B$20)))</f>
        <v>4.8946428381666296E-2</v>
      </c>
      <c r="E124" s="18">
        <f>$C124*(1+$D124)^(E$4-2025)</f>
        <v>3228345.5694695394</v>
      </c>
      <c r="F124" s="18">
        <f>$C124*(1+$D124)^(F$4-2025)</f>
        <v>3386361.5546768503</v>
      </c>
      <c r="G124" s="18">
        <f>$C124*(1+$D124)^(G$4-2025)</f>
        <v>3552111.8579872688</v>
      </c>
      <c r="H124" s="18">
        <f>$C124*(1+$D124)^(H$4-2025)</f>
        <v>3725975.0466479105</v>
      </c>
      <c r="I124" s="18">
        <f>$C124*(1+$D124)^(I$4-2025)</f>
        <v>3908348.217420538</v>
      </c>
      <c r="J124" s="18">
        <f>$C124*(1+$D124)^(J$4-2025)</f>
        <v>4099647.9035351258</v>
      </c>
      <c r="K124" s="18">
        <f>$C124*(1+$D124)^(K$4-2025)</f>
        <v>4300311.0260355566</v>
      </c>
      <c r="L124" s="18">
        <f>$C124*(1+$D124)^(L$4-2025)</f>
        <v>4510795.8916902961</v>
      </c>
      <c r="M124" s="18">
        <f>$C124*(1+$D124)^(M$4-2025)</f>
        <v>4731583.23974723</v>
      </c>
      <c r="N124" s="18">
        <f>$C124*(1+$D124)^(N$4-2025)</f>
        <v>4963177.3399234107</v>
      </c>
      <c r="O124" s="18">
        <f>$C124*(1+$D124)^(O$4-2025)</f>
        <v>5206107.1441374812</v>
      </c>
      <c r="P124" s="18">
        <f>$C124*(1+$D124)^(P$4-2025)</f>
        <v>5460927.4946152885</v>
      </c>
      <c r="Q124" s="18">
        <f>$C124*(1+$D124)^(Q$4-2025)</f>
        <v>5728220.3911279468</v>
      </c>
      <c r="R124" s="18">
        <f>$C124*(1+$D124)^(R$4-2025)</f>
        <v>6008596.3202566924</v>
      </c>
      <c r="S124" s="18">
        <f>$C124*(1+$D124)^(S$4-2025)</f>
        <v>6302695.6497204797</v>
      </c>
      <c r="T124" s="18">
        <f>$C124*(1+$D124)^(T$4-2025)</f>
        <v>6611190.090950965</v>
      </c>
      <c r="U124" s="18">
        <f>$C124*(1+$D124)^(U$4-2025)</f>
        <v>6934784.2332552783</v>
      </c>
      <c r="V124" s="18">
        <f>$C124*(1+$D124)^(V$4-2025)</f>
        <v>7274217.1530706175</v>
      </c>
      <c r="W124" s="18">
        <f>$C124*(1+$D124)^(W$4-2025)</f>
        <v>7630264.1019860767</v>
      </c>
      <c r="X124" s="18">
        <f>$C124*(1+$D124)^(X$4-2025)</f>
        <v>8003738.2773871375</v>
      </c>
    </row>
    <row r="125" spans="1:24">
      <c r="A125" s="22" t="str">
        <f>'Historical FY16-FY25'!A125</f>
        <v>Petersburg City</v>
      </c>
      <c r="B125" s="22" t="str">
        <f>'Historical FY16-FY25'!B125</f>
        <v>City</v>
      </c>
      <c r="C125" s="23">
        <f>'Historical FY16-FY25'!H125</f>
        <v>10748369</v>
      </c>
      <c r="D125" s="10">
        <f>MIN(Assumptions!$B$27,MAX(Assumptions!$B$26,Assumptions!$B$24+Assumptions!$B$25*('Historical FY16-FY25'!J125-Assumptions!$B$20)))</f>
        <v>4.3501137722163907E-2</v>
      </c>
      <c r="E125" s="15">
        <f>$C125*(1+$D125)^(E$4-2025)</f>
        <v>11215935.280157637</v>
      </c>
      <c r="F125" s="15">
        <f>$C125*(1+$D125)^(F$4-2025)</f>
        <v>11703841.225462651</v>
      </c>
      <c r="G125" s="15">
        <f>$C125*(1+$D125)^(G$4-2025)</f>
        <v>12212971.634489842</v>
      </c>
      <c r="H125" s="15">
        <f>$C125*(1+$D125)^(H$4-2025)</f>
        <v>12744249.795558665</v>
      </c>
      <c r="I125" s="15">
        <f>$C125*(1+$D125)^(I$4-2025)</f>
        <v>13298639.161080923</v>
      </c>
      <c r="J125" s="15">
        <f>$C125*(1+$D125)^(J$4-2025)</f>
        <v>13877145.094744464</v>
      </c>
      <c r="K125" s="15">
        <f>$C125*(1+$D125)^(K$4-2025)</f>
        <v>14480816.694701394</v>
      </c>
      <c r="L125" s="15">
        <f>$C125*(1+$D125)^(L$4-2025)</f>
        <v>15110748.696067009</v>
      </c>
      <c r="M125" s="15">
        <f>$C125*(1+$D125)^(M$4-2025)</f>
        <v>15768083.456179628</v>
      </c>
      <c r="N125" s="15">
        <f>$C125*(1+$D125)^(N$4-2025)</f>
        <v>16454013.026221473</v>
      </c>
      <c r="O125" s="15">
        <f>$C125*(1+$D125)^(O$4-2025)</f>
        <v>17169781.31295741</v>
      </c>
      <c r="P125" s="15">
        <f>$C125*(1+$D125)^(P$4-2025)</f>
        <v>17916686.334511805</v>
      </c>
      <c r="Q125" s="15">
        <f>$C125*(1+$D125)^(Q$4-2025)</f>
        <v>18696082.57427422</v>
      </c>
      <c r="R125" s="15">
        <f>$C125*(1+$D125)^(R$4-2025)</f>
        <v>19509383.43720267</v>
      </c>
      <c r="S125" s="15">
        <f>$C125*(1+$D125)^(S$4-2025)</f>
        <v>20358063.812978923</v>
      </c>
      <c r="T125" s="15">
        <f>$C125*(1+$D125)^(T$4-2025)</f>
        <v>21243662.750663921</v>
      </c>
      <c r="U125" s="15">
        <f>$C125*(1+$D125)^(U$4-2025)</f>
        <v>22167786.249703757</v>
      </c>
      <c r="V125" s="15">
        <f>$C125*(1+$D125)^(V$4-2025)</f>
        <v>23132110.172347609</v>
      </c>
      <c r="W125" s="15">
        <f>$C125*(1+$D125)^(W$4-2025)</f>
        <v>24138383.282759171</v>
      </c>
      <c r="X125" s="15">
        <f>$C125*(1+$D125)^(X$4-2025)</f>
        <v>25188430.418332852</v>
      </c>
    </row>
    <row r="126" spans="1:24">
      <c r="A126" s="24" t="str">
        <f>'Historical FY16-FY25'!A126</f>
        <v>Poquoson City</v>
      </c>
      <c r="B126" s="24" t="str">
        <f>'Historical FY16-FY25'!B126</f>
        <v>City</v>
      </c>
      <c r="C126" s="25">
        <f>'Historical FY16-FY25'!H126</f>
        <v>3829194</v>
      </c>
      <c r="D126" s="19">
        <f>MIN(Assumptions!$B$27,MAX(Assumptions!$B$26,Assumptions!$B$24+Assumptions!$B$25*('Historical FY16-FY25'!J126-Assumptions!$B$20)))</f>
        <v>4.9594630603251311E-2</v>
      </c>
      <c r="E126" s="18">
        <f>$C126*(1+$D126)^(E$4-2025)</f>
        <v>4019101.4619381861</v>
      </c>
      <c r="F126" s="18">
        <f>$C126*(1+$D126)^(F$4-2025)</f>
        <v>4218427.3142999979</v>
      </c>
      <c r="G126" s="18">
        <f>$C126*(1+$D126)^(G$4-2025)</f>
        <v>4427638.6586793717</v>
      </c>
      <c r="H126" s="18">
        <f>$C126*(1+$D126)^(H$4-2025)</f>
        <v>4647225.7624012502</v>
      </c>
      <c r="I126" s="18">
        <f>$C126*(1+$D126)^(I$4-2025)</f>
        <v>4877703.2074174527</v>
      </c>
      <c r="J126" s="18">
        <f>$C126*(1+$D126)^(J$4-2025)</f>
        <v>5119611.0961816153</v>
      </c>
      <c r="K126" s="18">
        <f>$C126*(1+$D126)^(K$4-2025)</f>
        <v>5373516.3173290491</v>
      </c>
      <c r="L126" s="18">
        <f>$C126*(1+$D126)^(L$4-2025)</f>
        <v>5640013.8741275258</v>
      </c>
      <c r="M126" s="18">
        <f>$C126*(1+$D126)^(M$4-2025)</f>
        <v>5919728.2788120927</v>
      </c>
      <c r="N126" s="18">
        <f>$C126*(1+$D126)^(N$4-2025)</f>
        <v>6213315.0160713997</v>
      </c>
      <c r="O126" s="18">
        <f>$C126*(1+$D126)^(O$4-2025)</f>
        <v>6521462.0791150946</v>
      </c>
      <c r="P126" s="18">
        <f>$C126*(1+$D126)^(P$4-2025)</f>
        <v>6844891.5819219183</v>
      </c>
      <c r="Q126" s="18">
        <f>$C126*(1+$D126)^(Q$4-2025)</f>
        <v>7184361.4514466412</v>
      </c>
      <c r="R126" s="18">
        <f>$C126*(1+$D126)^(R$4-2025)</f>
        <v>7540667.203751375</v>
      </c>
      <c r="S126" s="18">
        <f>$C126*(1+$D126)^(S$4-2025)</f>
        <v>7914643.8082234757</v>
      </c>
      <c r="T126" s="18">
        <f>$C126*(1+$D126)^(T$4-2025)</f>
        <v>8307167.644248629</v>
      </c>
      <c r="U126" s="18">
        <f>$C126*(1+$D126)^(U$4-2025)</f>
        <v>8719158.554924421</v>
      </c>
      <c r="V126" s="18">
        <f>$C126*(1+$D126)^(V$4-2025)</f>
        <v>9151582.0026270766</v>
      </c>
      <c r="W126" s="18">
        <f>$C126*(1+$D126)^(W$4-2025)</f>
        <v>9605451.3314827289</v>
      </c>
      <c r="X126" s="18">
        <f>$C126*(1+$D126)^(X$4-2025)</f>
        <v>10081830.142045122</v>
      </c>
    </row>
    <row r="127" spans="1:24">
      <c r="A127" s="22" t="str">
        <f>'Historical FY16-FY25'!A127</f>
        <v>Portsmouth City</v>
      </c>
      <c r="B127" s="22" t="str">
        <f>'Historical FY16-FY25'!B127</f>
        <v>City</v>
      </c>
      <c r="C127" s="23">
        <f>'Historical FY16-FY25'!H127</f>
        <v>29593354</v>
      </c>
      <c r="D127" s="10">
        <f>MIN(Assumptions!$B$27,MAX(Assumptions!$B$26,Assumptions!$B$24+Assumptions!$B$25*('Historical FY16-FY25'!J127-Assumptions!$B$20)))</f>
        <v>4.5635434575942102E-2</v>
      </c>
      <c r="E127" s="15">
        <f>$C127*(1+$D127)^(E$4-2025)</f>
        <v>30943859.570349697</v>
      </c>
      <c r="F127" s="15">
        <f>$C127*(1+$D127)^(F$4-2025)</f>
        <v>32355996.049299538</v>
      </c>
      <c r="G127" s="15">
        <f>$C127*(1+$D127)^(G$4-2025)</f>
        <v>33832575.990146793</v>
      </c>
      <c r="H127" s="15">
        <f>$C127*(1+$D127)^(H$4-2025)</f>
        <v>35376540.298280731</v>
      </c>
      <c r="I127" s="15">
        <f>$C127*(1+$D127)^(I$4-2025)</f>
        <v>36990964.088586099</v>
      </c>
      <c r="J127" s="15">
        <f>$C127*(1+$D127)^(J$4-2025)</f>
        <v>38679062.810151808</v>
      </c>
      <c r="K127" s="15">
        <f>$C127*(1+$D127)^(K$4-2025)</f>
        <v>40444198.650483251</v>
      </c>
      <c r="L127" s="15">
        <f>$C127*(1+$D127)^(L$4-2025)</f>
        <v>42289887.23197379</v>
      </c>
      <c r="M127" s="15">
        <f>$C127*(1+$D127)^(M$4-2025)</f>
        <v>44219804.6139725</v>
      </c>
      <c r="N127" s="15">
        <f>$C127*(1+$D127)^(N$4-2025)</f>
        <v>46237794.614394397</v>
      </c>
      <c r="O127" s="15">
        <f>$C127*(1+$D127)^(O$4-2025)</f>
        <v>48347876.465455443</v>
      </c>
      <c r="P127" s="15">
        <f>$C127*(1+$D127)^(P$4-2025)</f>
        <v>50554252.818780474</v>
      </c>
      <c r="Q127" s="15">
        <f>$C127*(1+$D127)^(Q$4-2025)</f>
        <v>52861318.115827575</v>
      </c>
      <c r="R127" s="15">
        <f>$C127*(1+$D127)^(R$4-2025)</f>
        <v>55273667.3403005</v>
      </c>
      <c r="S127" s="15">
        <f>$C127*(1+$D127)^(S$4-2025)</f>
        <v>57796105.169981174</v>
      </c>
      <c r="T127" s="15">
        <f>$C127*(1+$D127)^(T$4-2025)</f>
        <v>60433655.54621014</v>
      </c>
      <c r="U127" s="15">
        <f>$C127*(1+$D127)^(U$4-2025)</f>
        <v>63191571.680074237</v>
      </c>
      <c r="V127" s="15">
        <f>$C127*(1+$D127)^(V$4-2025)</f>
        <v>66075346.515231229</v>
      </c>
      <c r="W127" s="15">
        <f>$C127*(1+$D127)^(W$4-2025)</f>
        <v>69090723.668209791</v>
      </c>
      <c r="X127" s="15">
        <f>$C127*(1+$D127)^(X$4-2025)</f>
        <v>72243708.867974877</v>
      </c>
    </row>
    <row r="128" spans="1:24">
      <c r="A128" s="24" t="str">
        <f>'Historical FY16-FY25'!A128</f>
        <v>Radford City</v>
      </c>
      <c r="B128" s="24" t="str">
        <f>'Historical FY16-FY25'!B128</f>
        <v>City</v>
      </c>
      <c r="C128" s="25">
        <f>'Historical FY16-FY25'!H128</f>
        <v>3618866</v>
      </c>
      <c r="D128" s="19">
        <f>MIN(Assumptions!$B$27,MAX(Assumptions!$B$26,Assumptions!$B$24+Assumptions!$B$25*('Historical FY16-FY25'!J128-Assumptions!$B$20)))</f>
        <v>4.9767527149668145E-2</v>
      </c>
      <c r="E128" s="18">
        <f>$C128*(1+$D128)^(E$4-2025)</f>
        <v>3798968.0119060106</v>
      </c>
      <c r="F128" s="18">
        <f>$C128*(1+$D128)^(F$4-2025)</f>
        <v>3988033.2555792634</v>
      </c>
      <c r="G128" s="18">
        <f>$C128*(1+$D128)^(G$4-2025)</f>
        <v>4186507.8089000839</v>
      </c>
      <c r="H128" s="18">
        <f>$C128*(1+$D128)^(H$4-2025)</f>
        <v>4394859.9499418149</v>
      </c>
      <c r="I128" s="18">
        <f>$C128*(1+$D128)^(I$4-2025)</f>
        <v>4613581.2618195331</v>
      </c>
      <c r="J128" s="18">
        <f>$C128*(1+$D128)^(J$4-2025)</f>
        <v>4843187.7925243368</v>
      </c>
      <c r="K128" s="18">
        <f>$C128*(1+$D128)^(K$4-2025)</f>
        <v>5084221.2724797325</v>
      </c>
      <c r="L128" s="18">
        <f>$C128*(1+$D128)^(L$4-2025)</f>
        <v>5337250.3926927866</v>
      </c>
      <c r="M128" s="18">
        <f>$C128*(1+$D128)^(M$4-2025)</f>
        <v>5602872.1465157019</v>
      </c>
      <c r="N128" s="18">
        <f>$C128*(1+$D128)^(N$4-2025)</f>
        <v>5881713.2381835403</v>
      </c>
      <c r="O128" s="18">
        <f>$C128*(1+$D128)^(O$4-2025)</f>
        <v>6174431.5614514025</v>
      </c>
      <c r="P128" s="18">
        <f>$C128*(1+$D128)^(P$4-2025)</f>
        <v>6481717.7518197019</v>
      </c>
      <c r="Q128" s="18">
        <f>$C128*(1+$D128)^(Q$4-2025)</f>
        <v>6804296.8160098726</v>
      </c>
      <c r="R128" s="18">
        <f>$C128*(1+$D128)^(R$4-2025)</f>
        <v>7142929.8425350441</v>
      </c>
      <c r="S128" s="18">
        <f>$C128*(1+$D128)^(S$4-2025)</f>
        <v>7498415.7974015819</v>
      </c>
      <c r="T128" s="18">
        <f>$C128*(1+$D128)^(T$4-2025)</f>
        <v>7871593.4091782635</v>
      </c>
      <c r="U128" s="18">
        <f>$C128*(1+$D128)^(U$4-2025)</f>
        <v>8263343.147880692</v>
      </c>
      <c r="V128" s="18">
        <f>$C128*(1+$D128)^(V$4-2025)</f>
        <v>8674589.3023398668</v>
      </c>
      <c r="W128" s="18">
        <f>$C128*(1+$D128)^(W$4-2025)</f>
        <v>9106302.1609562859</v>
      </c>
      <c r="X128" s="18">
        <f>$C128*(1+$D128)^(X$4-2025)</f>
        <v>9559500.3009847589</v>
      </c>
    </row>
    <row r="129" spans="1:24">
      <c r="A129" s="22" t="str">
        <f>'Historical FY16-FY25'!A129</f>
        <v>Richmond City</v>
      </c>
      <c r="B129" s="22" t="str">
        <f>'Historical FY16-FY25'!B129</f>
        <v>City</v>
      </c>
      <c r="C129" s="23">
        <f>'Historical FY16-FY25'!H129</f>
        <v>81771359</v>
      </c>
      <c r="D129" s="10">
        <f>MIN(Assumptions!$B$27,MAX(Assumptions!$B$26,Assumptions!$B$24+Assumptions!$B$25*('Historical FY16-FY25'!J129-Assumptions!$B$20)))</f>
        <v>4.4409959179187108E-2</v>
      </c>
      <c r="E129" s="15">
        <f>$C129*(1+$D129)^(E$4-2025)</f>
        <v>85402821.715216652</v>
      </c>
      <c r="F129" s="15">
        <f>$C129*(1+$D129)^(F$4-2025)</f>
        <v>89195557.541376829</v>
      </c>
      <c r="G129" s="15">
        <f>$C129*(1+$D129)^(G$4-2025)</f>
        <v>93156728.610754207</v>
      </c>
      <c r="H129" s="15">
        <f>$C129*(1+$D129)^(H$4-2025)</f>
        <v>97293815.125624418</v>
      </c>
      <c r="I129" s="15">
        <f>$C129*(1+$D129)^(I$4-2025)</f>
        <v>101614629.48374076</v>
      </c>
      <c r="J129" s="15">
        <f>$C129*(1+$D129)^(J$4-2025)</f>
        <v>106127331.03112192</v>
      </c>
      <c r="K129" s="15">
        <f>$C129*(1+$D129)^(K$4-2025)</f>
        <v>110840441.47001013</v>
      </c>
      <c r="L129" s="15">
        <f>$C129*(1+$D129)^(L$4-2025)</f>
        <v>115762860.95109634</v>
      </c>
      <c r="M129" s="15">
        <f>$C129*(1+$D129)^(M$4-2025)</f>
        <v>120903884.88040045</v>
      </c>
      <c r="N129" s="15">
        <f>$C129*(1+$D129)^(N$4-2025)</f>
        <v>126273221.47254418</v>
      </c>
      <c r="O129" s="15">
        <f>$C129*(1+$D129)^(O$4-2025)</f>
        <v>131881010.08356433</v>
      </c>
      <c r="P129" s="15">
        <f>$C129*(1+$D129)^(P$4-2025)</f>
        <v>137737840.35788536</v>
      </c>
      <c r="Q129" s="15">
        <f>$C129*(1+$D129)^(Q$4-2025)</f>
        <v>143854772.22560844</v>
      </c>
      <c r="R129" s="15">
        <f>$C129*(1+$D129)^(R$4-2025)</f>
        <v>150243356.78787899</v>
      </c>
      <c r="S129" s="15">
        <f>$C129*(1+$D129)^(S$4-2025)</f>
        <v>156915658.12977275</v>
      </c>
      <c r="T129" s="15">
        <f>$C129*(1+$D129)^(T$4-2025)</f>
        <v>163884276.10189122</v>
      </c>
      <c r="U129" s="15">
        <f>$C129*(1+$D129)^(U$4-2025)</f>
        <v>171162370.11368686</v>
      </c>
      <c r="V129" s="15">
        <f>$C129*(1+$D129)^(V$4-2025)</f>
        <v>178763683.98344862</v>
      </c>
      <c r="W129" s="15">
        <f>$C129*(1+$D129)^(W$4-2025)</f>
        <v>186702571.89187464</v>
      </c>
      <c r="X129" s="15">
        <f>$C129*(1+$D129)^(X$4-2025)</f>
        <v>194994025.48824206</v>
      </c>
    </row>
    <row r="130" spans="1:24">
      <c r="A130" s="24" t="str">
        <f>'Historical FY16-FY25'!A130</f>
        <v>Roanoke City</v>
      </c>
      <c r="B130" s="24" t="str">
        <f>'Historical FY16-FY25'!B130</f>
        <v>City</v>
      </c>
      <c r="C130" s="25">
        <f>'Historical FY16-FY25'!H130</f>
        <v>45811828</v>
      </c>
      <c r="D130" s="19">
        <f>MIN(Assumptions!$B$27,MAX(Assumptions!$B$26,Assumptions!$B$24+Assumptions!$B$25*('Historical FY16-FY25'!J130-Assumptions!$B$20)))</f>
        <v>3.9233056298286884E-2</v>
      </c>
      <c r="E130" s="18">
        <f>$C130*(1+$D130)^(E$4-2025)</f>
        <v>47609166.027051434</v>
      </c>
      <c r="F130" s="18">
        <f>$C130*(1+$D130)^(F$4-2025)</f>
        <v>49477019.118105218</v>
      </c>
      <c r="G130" s="18">
        <f>$C130*(1+$D130)^(G$4-2025)</f>
        <v>51418153.794637248</v>
      </c>
      <c r="H130" s="18">
        <f>$C130*(1+$D130)^(H$4-2025)</f>
        <v>53435445.117216215</v>
      </c>
      <c r="I130" s="18">
        <f>$C130*(1+$D130)^(I$4-2025)</f>
        <v>55531880.943823971</v>
      </c>
      <c r="J130" s="18">
        <f>$C130*(1+$D130)^(J$4-2025)</f>
        <v>57710566.355242774</v>
      </c>
      <c r="K130" s="18">
        <f>$C130*(1+$D130)^(K$4-2025)</f>
        <v>59974728.254064016</v>
      </c>
      <c r="L130" s="18">
        <f>$C130*(1+$D130)^(L$4-2025)</f>
        <v>62327720.144130163</v>
      </c>
      <c r="M130" s="18">
        <f>$C130*(1+$D130)^(M$4-2025)</f>
        <v>64773027.097488686</v>
      </c>
      <c r="N130" s="18">
        <f>$C130*(1+$D130)^(N$4-2025)</f>
        <v>67314270.916214913</v>
      </c>
      <c r="O130" s="18">
        <f>$C130*(1+$D130)^(O$4-2025)</f>
        <v>69955215.49674888</v>
      </c>
      <c r="P130" s="18">
        <f>$C130*(1+$D130)^(P$4-2025)</f>
        <v>72699772.404691622</v>
      </c>
      <c r="Q130" s="18">
        <f>$C130*(1+$D130)^(Q$4-2025)</f>
        <v>75552006.668317527</v>
      </c>
      <c r="R130" s="18">
        <f>$C130*(1+$D130)^(R$4-2025)</f>
        <v>78516142.799384162</v>
      </c>
      <c r="S130" s="18">
        <f>$C130*(1+$D130)^(S$4-2025)</f>
        <v>81596571.050156698</v>
      </c>
      <c r="T130" s="18">
        <f>$C130*(1+$D130)^(T$4-2025)</f>
        <v>84797853.915914655</v>
      </c>
      <c r="U130" s="18">
        <f>$C130*(1+$D130)^(U$4-2025)</f>
        <v>88124732.892571643</v>
      </c>
      <c r="V130" s="18">
        <f>$C130*(1+$D130)^(V$4-2025)</f>
        <v>91582135.499417379</v>
      </c>
      <c r="W130" s="18">
        <f>$C130*(1+$D130)^(W$4-2025)</f>
        <v>95175182.577383339</v>
      </c>
      <c r="X130" s="18">
        <f>$C130*(1+$D130)^(X$4-2025)</f>
        <v>98909195.873641536</v>
      </c>
    </row>
    <row r="131" spans="1:24">
      <c r="A131" s="22" t="str">
        <f>'Historical FY16-FY25'!A131</f>
        <v>Salem City</v>
      </c>
      <c r="B131" s="22" t="str">
        <f>'Historical FY16-FY25'!B131</f>
        <v>City</v>
      </c>
      <c r="C131" s="23">
        <f>'Historical FY16-FY25'!H131</f>
        <v>13831325</v>
      </c>
      <c r="D131" s="10">
        <f>MIN(Assumptions!$B$27,MAX(Assumptions!$B$26,Assumptions!$B$24+Assumptions!$B$25*('Historical FY16-FY25'!J131-Assumptions!$B$20)))</f>
        <v>4.0785671565641279E-2</v>
      </c>
      <c r="E131" s="15">
        <f>$C131*(1+$D131)^(E$4-2025)</f>
        <v>14395444.878767645</v>
      </c>
      <c r="F131" s="15">
        <f>$C131*(1+$D131)^(F$4-2025)</f>
        <v>14982572.765634358</v>
      </c>
      <c r="G131" s="15">
        <f>$C131*(1+$D131)^(G$4-2025)</f>
        <v>15593647.057661843</v>
      </c>
      <c r="H131" s="15">
        <f>$C131*(1+$D131)^(H$4-2025)</f>
        <v>16229644.425066173</v>
      </c>
      <c r="I131" s="15">
        <f>$C131*(1+$D131)^(I$4-2025)</f>
        <v>16891581.372214064</v>
      </c>
      <c r="J131" s="15">
        <f>$C131*(1+$D131)^(J$4-2025)</f>
        <v>17580515.862285495</v>
      </c>
      <c r="K131" s="15">
        <f>$C131*(1+$D131)^(K$4-2025)</f>
        <v>18297549.008199219</v>
      </c>
      <c r="L131" s="15">
        <f>$C131*(1+$D131)^(L$4-2025)</f>
        <v>19043826.832503866</v>
      </c>
      <c r="M131" s="15">
        <f>$C131*(1+$D131)^(M$4-2025)</f>
        <v>19820542.099047314</v>
      </c>
      <c r="N131" s="15">
        <f>$C131*(1+$D131)^(N$4-2025)</f>
        <v>20628936.219352029</v>
      </c>
      <c r="O131" s="15">
        <f>$C131*(1+$D131)^(O$4-2025)</f>
        <v>21470301.236743085</v>
      </c>
      <c r="P131" s="15">
        <f>$C131*(1+$D131)^(P$4-2025)</f>
        <v>22345981.891400278</v>
      </c>
      <c r="Q131" s="15">
        <f>$C131*(1+$D131)^(Q$4-2025)</f>
        <v>23257377.769634698</v>
      </c>
      <c r="R131" s="15">
        <f>$C131*(1+$D131)^(R$4-2025)</f>
        <v>24205945.540825069</v>
      </c>
      <c r="S131" s="15">
        <f>$C131*(1+$D131)^(S$4-2025)</f>
        <v>25193201.285588965</v>
      </c>
      <c r="T131" s="15">
        <f>$C131*(1+$D131)^(T$4-2025)</f>
        <v>26220722.918910097</v>
      </c>
      <c r="U131" s="15">
        <f>$C131*(1+$D131)^(U$4-2025)</f>
        <v>27290152.712094449</v>
      </c>
      <c r="V131" s="15">
        <f>$C131*(1+$D131)^(V$4-2025)</f>
        <v>28403199.917586133</v>
      </c>
      <c r="W131" s="15">
        <f>$C131*(1+$D131)^(W$4-2025)</f>
        <v>29561643.500838052</v>
      </c>
      <c r="X131" s="15">
        <f>$C131*(1+$D131)^(X$4-2025)</f>
        <v>30767334.983603816</v>
      </c>
    </row>
    <row r="132" spans="1:24">
      <c r="A132" s="24" t="str">
        <f>'Historical FY16-FY25'!A132</f>
        <v>Staunton City</v>
      </c>
      <c r="B132" s="24" t="str">
        <f>'Historical FY16-FY25'!B132</f>
        <v>City</v>
      </c>
      <c r="C132" s="25">
        <f>'Historical FY16-FY25'!H132</f>
        <v>10082124</v>
      </c>
      <c r="D132" s="19">
        <f>MIN(Assumptions!$B$27,MAX(Assumptions!$B$26,Assumptions!$B$24+Assumptions!$B$25*('Historical FY16-FY25'!J132-Assumptions!$B$20)))</f>
        <v>4.501122624874232E-2</v>
      </c>
      <c r="E132" s="18">
        <f>$C132*(1+$D132)^(E$4-2025)</f>
        <v>10535932.764431875</v>
      </c>
      <c r="F132" s="18">
        <f>$C132*(1+$D132)^(F$4-2025)</f>
        <v>11010168.017833255</v>
      </c>
      <c r="G132" s="18">
        <f>$C132*(1+$D132)^(G$4-2025)</f>
        <v>11505749.181520615</v>
      </c>
      <c r="H132" s="18">
        <f>$C132*(1+$D132)^(H$4-2025)</f>
        <v>12023637.061091322</v>
      </c>
      <c r="I132" s="18">
        <f>$C132*(1+$D132)^(I$4-2025)</f>
        <v>12564835.709180867</v>
      </c>
      <c r="J132" s="18">
        <f>$C132*(1+$D132)^(J$4-2025)</f>
        <v>13130394.372065084</v>
      </c>
      <c r="K132" s="18">
        <f>$C132*(1+$D132)^(K$4-2025)</f>
        <v>13721409.52388132</v>
      </c>
      <c r="L132" s="18">
        <f>$C132*(1+$D132)^(L$4-2025)</f>
        <v>14339026.99241239</v>
      </c>
      <c r="M132" s="18">
        <f>$C132*(1+$D132)^(M$4-2025)</f>
        <v>14984444.180554686</v>
      </c>
      <c r="N132" s="18">
        <f>$C132*(1+$D132)^(N$4-2025)</f>
        <v>15658912.387777286</v>
      </c>
      <c r="O132" s="18">
        <f>$C132*(1+$D132)^(O$4-2025)</f>
        <v>16363739.236072764</v>
      </c>
      <c r="P132" s="18">
        <f>$C132*(1+$D132)^(P$4-2025)</f>
        <v>17100291.205103055</v>
      </c>
      <c r="Q132" s="18">
        <f>$C132*(1+$D132)^(Q$4-2025)</f>
        <v>17869996.281455331</v>
      </c>
      <c r="R132" s="18">
        <f>$C132*(1+$D132)^(R$4-2025)</f>
        <v>18674346.7271441</v>
      </c>
      <c r="S132" s="18">
        <f>$C132*(1+$D132)^(S$4-2025)</f>
        <v>19514901.972727042</v>
      </c>
      <c r="T132" s="18">
        <f>$C132*(1+$D132)^(T$4-2025)</f>
        <v>20393291.640643489</v>
      </c>
      <c r="U132" s="18">
        <f>$C132*(1+$D132)^(U$4-2025)</f>
        <v>21311218.70463708</v>
      </c>
      <c r="V132" s="18">
        <f>$C132*(1+$D132)^(V$4-2025)</f>
        <v>22270462.791387931</v>
      </c>
      <c r="W132" s="18">
        <f>$C132*(1+$D132)^(W$4-2025)</f>
        <v>23272883.63075529</v>
      </c>
      <c r="X132" s="18">
        <f>$C132*(1+$D132)^(X$4-2025)</f>
        <v>24320424.661319871</v>
      </c>
    </row>
    <row r="133" spans="1:24">
      <c r="A133" s="22" t="str">
        <f>'Historical FY16-FY25'!A133</f>
        <v>Suffolk City</v>
      </c>
      <c r="B133" s="22" t="str">
        <f>'Historical FY16-FY25'!B133</f>
        <v>City</v>
      </c>
      <c r="C133" s="23">
        <f>'Historical FY16-FY25'!H133</f>
        <v>37937389</v>
      </c>
      <c r="D133" s="10">
        <f>MIN(Assumptions!$B$27,MAX(Assumptions!$B$26,Assumptions!$B$24+Assumptions!$B$25*('Historical FY16-FY25'!J133-Assumptions!$B$20)))</f>
        <v>4.9346154532135866E-2</v>
      </c>
      <c r="E133" s="15">
        <f>$C133*(1+$D133)^(E$4-2025)</f>
        <v>39809453.260139748</v>
      </c>
      <c r="F133" s="15">
        <f>$C133*(1+$D133)^(F$4-2025)</f>
        <v>41773896.692554444</v>
      </c>
      <c r="G133" s="15">
        <f>$C133*(1+$D133)^(G$4-2025)</f>
        <v>43835277.854154721</v>
      </c>
      <c r="H133" s="15">
        <f>$C133*(1+$D133)^(H$4-2025)</f>
        <v>45998380.249104947</v>
      </c>
      <c r="I133" s="15">
        <f>$C133*(1+$D133)^(I$4-2025)</f>
        <v>48268223.429105222</v>
      </c>
      <c r="J133" s="15">
        <f>$C133*(1+$D133)^(J$4-2025)</f>
        <v>50650074.641429506</v>
      </c>
      <c r="K133" s="15">
        <f>$C133*(1+$D133)^(K$4-2025)</f>
        <v>53149461.051749706</v>
      </c>
      <c r="L133" s="15">
        <f>$C133*(1+$D133)^(L$4-2025)</f>
        <v>55772182.570109077</v>
      </c>
      <c r="M133" s="15">
        <f>$C133*(1+$D133)^(M$4-2025)</f>
        <v>58524325.309808172</v>
      </c>
      <c r="N133" s="15">
        <f>$C133*(1+$D133)^(N$4-2025)</f>
        <v>61412275.710434958</v>
      </c>
      <c r="O133" s="15">
        <f>$C133*(1+$D133)^(O$4-2025)</f>
        <v>64442735.357812211</v>
      </c>
      <c r="P133" s="15">
        <f>$C133*(1+$D133)^(P$4-2025)</f>
        <v>67622736.535252348</v>
      </c>
      <c r="Q133" s="15">
        <f>$C133*(1+$D133)^(Q$4-2025)</f>
        <v>70959658.542206824</v>
      </c>
      <c r="R133" s="15">
        <f>$C133*(1+$D133)^(R$4-2025)</f>
        <v>74461244.818178132</v>
      </c>
      <c r="S133" s="15">
        <f>$C133*(1+$D133)^(S$4-2025)</f>
        <v>78135620.911631152</v>
      </c>
      <c r="T133" s="15">
        <f>$C133*(1+$D133)^(T$4-2025)</f>
        <v>81991313.335600883</v>
      </c>
      <c r="U133" s="15">
        <f>$C133*(1+$D133)^(U$4-2025)</f>
        <v>86037269.353752211</v>
      </c>
      <c r="V133" s="15">
        <f>$C133*(1+$D133)^(V$4-2025)</f>
        <v>90282877.742805466</v>
      </c>
      <c r="W133" s="15">
        <f>$C133*(1+$D133)^(W$4-2025)</f>
        <v>94737990.579507887</v>
      </c>
      <c r="X133" s="15">
        <f>$C133*(1+$D133)^(X$4-2025)</f>
        <v>99412946.102708295</v>
      </c>
    </row>
    <row r="134" spans="1:24">
      <c r="A134" s="24" t="str">
        <f>'Historical FY16-FY25'!A134</f>
        <v>Virginia Beach City</v>
      </c>
      <c r="B134" s="24" t="str">
        <f>'Historical FY16-FY25'!B134</f>
        <v>City</v>
      </c>
      <c r="C134" s="25">
        <f>'Historical FY16-FY25'!H134</f>
        <v>177733626</v>
      </c>
      <c r="D134" s="19">
        <f>MIN(Assumptions!$B$27,MAX(Assumptions!$B$26,Assumptions!$B$24+Assumptions!$B$25*('Historical FY16-FY25'!J134-Assumptions!$B$20)))</f>
        <v>4.3775248922717003E-2</v>
      </c>
      <c r="E134" s="18">
        <f>$C134*(1+$D134)^(E$4-2025)</f>
        <v>185513959.72008708</v>
      </c>
      <c r="F134" s="18">
        <f>$C134*(1+$D134)^(F$4-2025)</f>
        <v>193634879.48547277</v>
      </c>
      <c r="G134" s="18">
        <f>$C134*(1+$D134)^(G$4-2025)</f>
        <v>202111294.53506964</v>
      </c>
      <c r="H134" s="18">
        <f>$C134*(1+$D134)^(H$4-2025)</f>
        <v>210958766.76343489</v>
      </c>
      <c r="I134" s="18">
        <f>$C134*(1+$D134)^(I$4-2025)</f>
        <v>220193539.29093367</v>
      </c>
      <c r="J134" s="18">
        <f>$C134*(1+$D134)^(J$4-2025)</f>
        <v>229832566.28456834</v>
      </c>
      <c r="K134" s="18">
        <f>$C134*(1+$D134)^(K$4-2025)</f>
        <v>239893544.08422217</v>
      </c>
      <c r="L134" s="18">
        <f>$C134*(1+$D134)^(L$4-2025)</f>
        <v>250394943.69146177</v>
      </c>
      <c r="M134" s="18">
        <f>$C134*(1+$D134)^(M$4-2025)</f>
        <v>261356044.68054521</v>
      </c>
      <c r="N134" s="18">
        <f>$C134*(1+$D134)^(N$4-2025)</f>
        <v>272796970.59389281</v>
      </c>
      <c r="O134" s="18">
        <f>$C134*(1+$D134)^(O$4-2025)</f>
        <v>284738725.8870036</v>
      </c>
      <c r="P134" s="18">
        <f>$C134*(1+$D134)^(P$4-2025)</f>
        <v>297203234.49064445</v>
      </c>
      <c r="Q134" s="18">
        <f>$C134*(1+$D134)^(Q$4-2025)</f>
        <v>310213380.06110907</v>
      </c>
      <c r="R134" s="18">
        <f>$C134*(1+$D134)^(R$4-2025)</f>
        <v>323793047.99244148</v>
      </c>
      <c r="S134" s="18">
        <f>$C134*(1+$D134)^(S$4-2025)</f>
        <v>337967169.26775587</v>
      </c>
      <c r="T134" s="18">
        <f>$C134*(1+$D134)^(T$4-2025)</f>
        <v>352761766.23015791</v>
      </c>
      <c r="U134" s="18">
        <f>$C134*(1+$D134)^(U$4-2025)</f>
        <v>368204000.35730034</v>
      </c>
      <c r="V134" s="18">
        <f>$C134*(1+$D134)^(V$4-2025)</f>
        <v>384322222.12728137</v>
      </c>
      <c r="W134" s="18">
        <f>$C134*(1+$D134)^(W$4-2025)</f>
        <v>401146023.06743485</v>
      </c>
      <c r="X134" s="18">
        <f>$C134*(1+$D134)^(X$4-2025)</f>
        <v>418706290.08156973</v>
      </c>
    </row>
    <row r="135" spans="1:24">
      <c r="A135" s="22" t="str">
        <f>'Historical FY16-FY25'!A135</f>
        <v>Waynesboro City</v>
      </c>
      <c r="B135" s="22" t="str">
        <f>'Historical FY16-FY25'!B135</f>
        <v>City</v>
      </c>
      <c r="C135" s="23">
        <f>'Historical FY16-FY25'!H135</f>
        <v>11366065</v>
      </c>
      <c r="D135" s="10">
        <f>MIN(Assumptions!$B$27,MAX(Assumptions!$B$26,Assumptions!$B$24+Assumptions!$B$25*('Historical FY16-FY25'!J135-Assumptions!$B$20)))</f>
        <v>4.0921895255456309E-2</v>
      </c>
      <c r="E135" s="15">
        <f>$C135*(1+$D135)^(E$4-2025)</f>
        <v>11831185.92139671</v>
      </c>
      <c r="F135" s="15">
        <f>$C135*(1+$D135)^(F$4-2025)</f>
        <v>12315340.472419936</v>
      </c>
      <c r="G135" s="15">
        <f>$C135*(1+$D135)^(G$4-2025)</f>
        <v>12819307.545267586</v>
      </c>
      <c r="H135" s="15">
        <f>$C135*(1+$D135)^(H$4-2025)</f>
        <v>13343897.905882509</v>
      </c>
      <c r="I135" s="15">
        <f>$C135*(1+$D135)^(I$4-2025)</f>
        <v>13889955.49828654</v>
      </c>
      <c r="J135" s="15">
        <f>$C135*(1+$D135)^(J$4-2025)</f>
        <v>14458358.802290371</v>
      </c>
      <c r="K135" s="15">
        <f>$C135*(1+$D135)^(K$4-2025)</f>
        <v>15050022.246763501</v>
      </c>
      <c r="L135" s="15">
        <f>$C135*(1+$D135)^(L$4-2025)</f>
        <v>15665897.680737849</v>
      </c>
      <c r="M135" s="15">
        <f>$C135*(1+$D135)^(M$4-2025)</f>
        <v>16306975.904711701</v>
      </c>
      <c r="N135" s="15">
        <f>$C135*(1+$D135)^(N$4-2025)</f>
        <v>16974288.264617566</v>
      </c>
      <c r="O135" s="15">
        <f>$C135*(1+$D135)^(O$4-2025)</f>
        <v>17668908.311018165</v>
      </c>
      <c r="P135" s="15">
        <f>$C135*(1+$D135)^(P$4-2025)</f>
        <v>18391953.526199915</v>
      </c>
      <c r="Q135" s="15">
        <f>$C135*(1+$D135)^(Q$4-2025)</f>
        <v>19144587.121942293</v>
      </c>
      <c r="R135" s="15">
        <f>$C135*(1+$D135)^(R$4-2025)</f>
        <v>19928019.910855372</v>
      </c>
      <c r="S135" s="15">
        <f>$C135*(1+$D135)^(S$4-2025)</f>
        <v>20743512.254296042</v>
      </c>
      <c r="T135" s="15">
        <f>$C135*(1+$D135)^(T$4-2025)</f>
        <v>21592376.089996628</v>
      </c>
      <c r="U135" s="15">
        <f>$C135*(1+$D135)^(U$4-2025)</f>
        <v>22475977.042667892</v>
      </c>
      <c r="V135" s="15">
        <f>$C135*(1+$D135)^(V$4-2025)</f>
        <v>23395736.620971989</v>
      </c>
      <c r="W135" s="15">
        <f>$C135*(1+$D135)^(W$4-2025)</f>
        <v>24353134.504399646</v>
      </c>
      <c r="X135" s="15">
        <f>$C135*(1+$D135)^(X$4-2025)</f>
        <v>25349710.923730731</v>
      </c>
    </row>
    <row r="136" spans="1:24">
      <c r="A136" s="24" t="str">
        <f>'Historical FY16-FY25'!A136</f>
        <v>Williamsburg City</v>
      </c>
      <c r="B136" s="24" t="str">
        <f>'Historical FY16-FY25'!B136</f>
        <v>City</v>
      </c>
      <c r="C136" s="25">
        <f>'Historical FY16-FY25'!H136</f>
        <v>7406843</v>
      </c>
      <c r="D136" s="19">
        <f>MIN(Assumptions!$B$27,MAX(Assumptions!$B$26,Assumptions!$B$24+Assumptions!$B$25*('Historical FY16-FY25'!J136-Assumptions!$B$20)))</f>
        <v>3.9631246908688689E-2</v>
      </c>
      <c r="E136" s="18">
        <f>$C136*(1+$D136)^(E$4-2025)</f>
        <v>7700385.4237468913</v>
      </c>
      <c r="F136" s="18">
        <f>$C136*(1+$D136)^(F$4-2025)</f>
        <v>8005561.2997674718</v>
      </c>
      <c r="G136" s="18">
        <f>$C136*(1+$D136)^(G$4-2025)</f>
        <v>8322831.676281197</v>
      </c>
      <c r="H136" s="18">
        <f>$C136*(1+$D136)^(H$4-2025)</f>
        <v>8652675.8734233528</v>
      </c>
      <c r="I136" s="18">
        <f>$C136*(1+$D136)^(I$4-2025)</f>
        <v>8995592.2073838469</v>
      </c>
      <c r="J136" s="18">
        <f>$C136*(1+$D136)^(J$4-2025)</f>
        <v>9352098.743244553</v>
      </c>
      <c r="K136" s="18">
        <f>$C136*(1+$D136)^(K$4-2025)</f>
        <v>9722734.0776525121</v>
      </c>
      <c r="L136" s="18">
        <f>$C136*(1+$D136)^(L$4-2025)</f>
        <v>10108058.152511481</v>
      </c>
      <c r="M136" s="18">
        <f>$C136*(1+$D136)^(M$4-2025)</f>
        <v>10508653.100921046</v>
      </c>
      <c r="N136" s="18">
        <f>$C136*(1+$D136)^(N$4-2025)</f>
        <v>10925124.126641404</v>
      </c>
      <c r="O136" s="18">
        <f>$C136*(1+$D136)^(O$4-2025)</f>
        <v>11358100.418412399</v>
      </c>
      <c r="P136" s="18">
        <f>$C136*(1+$D136)^(P$4-2025)</f>
        <v>11808236.100508181</v>
      </c>
      <c r="Q136" s="18">
        <f>$C136*(1+$D136)^(Q$4-2025)</f>
        <v>12276211.220963512</v>
      </c>
      <c r="R136" s="18">
        <f>$C136*(1+$D136)^(R$4-2025)</f>
        <v>12762732.778964732</v>
      </c>
      <c r="S136" s="18">
        <f>$C136*(1+$D136)^(S$4-2025)</f>
        <v>13268535.792957494</v>
      </c>
      <c r="T136" s="18">
        <f>$C136*(1+$D136)^(T$4-2025)</f>
        <v>13794384.411084967</v>
      </c>
      <c r="U136" s="18">
        <f>$C136*(1+$D136)^(U$4-2025)</f>
        <v>14341073.065634038</v>
      </c>
      <c r="V136" s="18">
        <f>$C136*(1+$D136)^(V$4-2025)</f>
        <v>14909427.673233725</v>
      </c>
      <c r="W136" s="18">
        <f>$C136*(1+$D136)^(W$4-2025)</f>
        <v>15500306.882618885</v>
      </c>
      <c r="X136" s="18">
        <f>$C136*(1+$D136)^(X$4-2025)</f>
        <v>16114603.371844402</v>
      </c>
    </row>
    <row r="137" spans="1:24">
      <c r="A137" s="22" t="str">
        <f>'Historical FY16-FY25'!A137</f>
        <v>Winchester City</v>
      </c>
      <c r="B137" s="22" t="str">
        <f>'Historical FY16-FY25'!B137</f>
        <v>City</v>
      </c>
      <c r="C137" s="23">
        <f>'Historical FY16-FY25'!H137</f>
        <v>18260200</v>
      </c>
      <c r="D137" s="10">
        <f>MIN(Assumptions!$B$27,MAX(Assumptions!$B$26,Assumptions!$B$24+Assumptions!$B$25*('Historical FY16-FY25'!J137-Assumptions!$B$20)))</f>
        <v>4.271473332377107E-2</v>
      </c>
      <c r="E137" s="15">
        <f>$C137*(1+$D137)^(E$4-2025)</f>
        <v>19040179.573438726</v>
      </c>
      <c r="F137" s="15">
        <f>$C137*(1+$D137)^(F$4-2025)</f>
        <v>19853475.766354878</v>
      </c>
      <c r="G137" s="15">
        <f>$C137*(1+$D137)^(G$4-2025)</f>
        <v>20701511.689264677</v>
      </c>
      <c r="H137" s="15">
        <f>$C137*(1+$D137)^(H$4-2025)</f>
        <v>21585771.240470551</v>
      </c>
      <c r="I137" s="15">
        <f>$C137*(1+$D137)^(I$4-2025)</f>
        <v>22507801.702595182</v>
      </c>
      <c r="J137" s="15">
        <f>$C137*(1+$D137)^(J$4-2025)</f>
        <v>23469216.45002586</v>
      </c>
      <c r="K137" s="15">
        <f>$C137*(1+$D137)^(K$4-2025)</f>
        <v>24471697.772006579</v>
      </c>
      <c r="L137" s="15">
        <f>$C137*(1+$D137)^(L$4-2025)</f>
        <v>25516999.816317763</v>
      </c>
      <c r="M137" s="15">
        <f>$C137*(1+$D137)^(M$4-2025)</f>
        <v>26606951.658694491</v>
      </c>
      <c r="N137" s="15">
        <f>$C137*(1+$D137)^(N$4-2025)</f>
        <v>27743460.503354099</v>
      </c>
      <c r="O137" s="15">
        <f>$C137*(1+$D137)^(O$4-2025)</f>
        <v>28928515.020233449</v>
      </c>
      <c r="P137" s="15">
        <f>$C137*(1+$D137)^(P$4-2025)</f>
        <v>30164188.824775431</v>
      </c>
      <c r="Q137" s="15">
        <f>$C137*(1+$D137)^(Q$4-2025)</f>
        <v>31452644.106353592</v>
      </c>
      <c r="R137" s="15">
        <f>$C137*(1+$D137)^(R$4-2025)</f>
        <v>32796135.411683973</v>
      </c>
      <c r="S137" s="15">
        <f>$C137*(1+$D137)^(S$4-2025)</f>
        <v>34197013.589844339</v>
      </c>
      <c r="T137" s="15">
        <f>$C137*(1+$D137)^(T$4-2025)</f>
        <v>35657729.905803919</v>
      </c>
      <c r="U137" s="15">
        <f>$C137*(1+$D137)^(U$4-2025)</f>
        <v>37180840.329661392</v>
      </c>
      <c r="V137" s="15">
        <f>$C137*(1+$D137)^(V$4-2025)</f>
        <v>38769010.0090966</v>
      </c>
      <c r="W137" s="15">
        <f>$C137*(1+$D137)^(W$4-2025)</f>
        <v>40425017.932861775</v>
      </c>
      <c r="X137" s="15">
        <f>$C137*(1+$D137)^(X$4-2025)</f>
        <v>42151761.79347264</v>
      </c>
    </row>
    <row r="138" spans="1:24">
      <c r="A138" s="20" t="s">
        <v>228</v>
      </c>
      <c r="C138" s="21">
        <f>SUM(C5:C137)</f>
        <v>3441135242</v>
      </c>
      <c r="E138" s="21">
        <f>SUM(E5:E137)</f>
        <v>3594823374.5025525</v>
      </c>
      <c r="F138" s="21">
        <f>SUM(F5:F137)</f>
        <v>3755467234.1187549</v>
      </c>
      <c r="G138" s="21">
        <f>SUM(G5:G137)</f>
        <v>3923385931.962945</v>
      </c>
      <c r="H138" s="21">
        <f>SUM(H5:H137)</f>
        <v>4098913429.0610228</v>
      </c>
      <c r="I138" s="21">
        <f>SUM(I5:I137)</f>
        <v>4282399238.0251451</v>
      </c>
      <c r="J138" s="21">
        <f>SUM(J5:J137)</f>
        <v>4474209158.443984</v>
      </c>
      <c r="K138" s="21">
        <f>SUM(K5:K137)</f>
        <v>4674726047.6394787</v>
      </c>
      <c r="L138" s="21">
        <f>SUM(L5:L137)</f>
        <v>4884350628.5236292</v>
      </c>
      <c r="M138" s="21">
        <f>SUM(M5:M137)</f>
        <v>5103502336.3758316</v>
      </c>
      <c r="N138" s="21">
        <f>SUM(N5:N137)</f>
        <v>5332620206.4524593</v>
      </c>
      <c r="O138" s="21">
        <f>SUM(O5:O137)</f>
        <v>5572163804.436574</v>
      </c>
      <c r="P138" s="21">
        <f>SUM(P5:P137)</f>
        <v>5822614201.8365803</v>
      </c>
      <c r="Q138" s="21">
        <f>SUM(Q5:Q137)</f>
        <v>6084474998.5488214</v>
      </c>
      <c r="R138" s="21">
        <f>SUM(R5:R137)</f>
        <v>6358273394.9109259</v>
      </c>
      <c r="S138" s="21">
        <f>SUM(S5:S137)</f>
        <v>6644561315.6901798</v>
      </c>
      <c r="T138" s="21">
        <f>SUM(T5:T137)</f>
        <v>6943916588.574688</v>
      </c>
      <c r="U138" s="21">
        <f>SUM(U5:U137)</f>
        <v>7256944179.8654156</v>
      </c>
      <c r="V138" s="21">
        <f>SUM(V5:V137)</f>
        <v>7584277490.2036753</v>
      </c>
      <c r="W138" s="21">
        <f>SUM(W5:W137)</f>
        <v>7926579713.312809</v>
      </c>
      <c r="X138" s="21">
        <f>SUM(X5:X137)</f>
        <v>8284545260.8842669</v>
      </c>
    </row>
  </sheetData>
  <autoFilter ref="A4:D137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6"/>
  <sheetViews>
    <sheetView showGridLines="0" zoomScaleNormal="100" workbookViewId="0">
      <pane xSplit="2" ySplit="5" topLeftCell="C6" activePane="bottomRight" state="frozen"/>
      <selection pane="bottomRight"/>
      <selection pane="bottomLeft" activeCell="A6" sqref="A6"/>
      <selection pane="topRight" activeCell="C1" sqref="C1"/>
    </sheetView>
  </sheetViews>
  <sheetFormatPr defaultColWidth="8.7109375" defaultRowHeight="15"/>
  <cols>
    <col min="1" max="1" width="24" customWidth="1"/>
    <col min="2" max="2" width="9" customWidth="1"/>
    <col min="3" max="11" width="19" customWidth="1"/>
  </cols>
  <sheetData>
    <row r="1" spans="1:11" ht="17.45">
      <c r="A1" s="1" t="s">
        <v>233</v>
      </c>
    </row>
    <row r="2" spans="1:11">
      <c r="A2" s="4" t="s">
        <v>234</v>
      </c>
    </row>
    <row r="3" spans="1:11">
      <c r="A3" s="4" t="s">
        <v>235</v>
      </c>
    </row>
    <row r="5" spans="1:11" ht="57.75" customHeight="1">
      <c r="A5" s="5" t="s">
        <v>83</v>
      </c>
      <c r="B5" s="5" t="s">
        <v>84</v>
      </c>
      <c r="C5" s="5" t="s">
        <v>236</v>
      </c>
      <c r="D5" s="5" t="s">
        <v>232</v>
      </c>
      <c r="E5" s="5" t="s">
        <v>237</v>
      </c>
      <c r="F5" s="5" t="s">
        <v>238</v>
      </c>
      <c r="G5" s="5" t="s">
        <v>239</v>
      </c>
      <c r="H5" s="5" t="s">
        <v>240</v>
      </c>
      <c r="I5" s="5" t="s">
        <v>241</v>
      </c>
      <c r="J5" s="5" t="s">
        <v>242</v>
      </c>
      <c r="K5" s="5" t="s">
        <v>243</v>
      </c>
    </row>
    <row r="6" spans="1:11">
      <c r="A6" s="22" t="str">
        <f>'Historical FY16-FY25'!A5</f>
        <v>Accomack County</v>
      </c>
      <c r="B6" s="22" t="str">
        <f>'Historical FY16-FY25'!B5</f>
        <v>County</v>
      </c>
      <c r="C6" s="23">
        <f>'Historical FY16-FY25'!D5</f>
        <v>6374893</v>
      </c>
      <c r="D6" s="26">
        <f>'Projection FY26-FY45'!D5</f>
        <v>3.9494373722412157E-2</v>
      </c>
      <c r="E6" s="15">
        <f>$C6*(Assumptions!$B$28/Assumptions!$B$29)*(1+$D6)^2</f>
        <v>6888381.4066833332</v>
      </c>
      <c r="F6" s="15">
        <f>$C6*(Assumptions!$B$28/Assumptions!$B$29)*(1+$D6)^10</f>
        <v>9390621.371300552</v>
      </c>
      <c r="G6" s="15">
        <f>$C6*(Assumptions!$B$28/Assumptions!$B$29)*(1+$D6)^20</f>
        <v>13832980.371455118</v>
      </c>
      <c r="H6" s="15">
        <f>IF($D6=0,$C6*(Assumptions!$B$28/Assumptions!$B$29)*20,$C6*(Assumptions!$B$28/Assumptions!$B$29)*(1+$D6)*((1+$D6)^20-1)/$D6)</f>
        <v>196297323.66051728</v>
      </c>
      <c r="I6" s="15">
        <f>H6/20</f>
        <v>9814866.183025863</v>
      </c>
      <c r="J6" s="10">
        <f>IFERROR(H6/$H$139,0)</f>
        <v>3.1985217915556931E-3</v>
      </c>
      <c r="K6" s="15">
        <f>'Projection FY26-FY45'!E5*0.01</f>
        <v>122895.22024793095</v>
      </c>
    </row>
    <row r="7" spans="1:11">
      <c r="A7" s="24" t="str">
        <f>'Historical FY16-FY25'!A6</f>
        <v>Albemarle County</v>
      </c>
      <c r="B7" s="24" t="str">
        <f>'Historical FY16-FY25'!B6</f>
        <v>County</v>
      </c>
      <c r="C7" s="25">
        <f>'Historical FY16-FY25'!D6</f>
        <v>26225183</v>
      </c>
      <c r="D7" s="27">
        <f>'Projection FY26-FY45'!D6</f>
        <v>4.9296426935101834E-2</v>
      </c>
      <c r="E7" s="18">
        <f>$C7*(Assumptions!$B$28/Assumptions!$B$29)*(1+$D7)^2</f>
        <v>28874529.441360746</v>
      </c>
      <c r="F7" s="18">
        <f>$C7*(Assumptions!$B$28/Assumptions!$B$29)*(1+$D7)^10</f>
        <v>42432680.514491878</v>
      </c>
      <c r="G7" s="18">
        <f>$C7*(Assumptions!$B$28/Assumptions!$B$29)*(1+$D7)^20</f>
        <v>68656618.169068202</v>
      </c>
      <c r="H7" s="18">
        <f>IF($D7=0,$C7*(Assumptions!$B$28/Assumptions!$B$29)*20,$C7*(Assumptions!$B$28/Assumptions!$B$29)*(1+$D7)*((1+$D7)^20-1)/$D7)</f>
        <v>903172016.32576525</v>
      </c>
      <c r="I7" s="18">
        <f>H7/20</f>
        <v>45158600.816288263</v>
      </c>
      <c r="J7" s="19">
        <f>IFERROR(H7/$H$139,0)</f>
        <v>1.471652960861179E-2</v>
      </c>
      <c r="K7" s="18">
        <f>'Projection FY26-FY45'!E6*0.01</f>
        <v>476778.55497734423</v>
      </c>
    </row>
    <row r="8" spans="1:11">
      <c r="A8" s="22" t="str">
        <f>'Historical FY16-FY25'!A7</f>
        <v>Alleghany County</v>
      </c>
      <c r="B8" s="22" t="str">
        <f>'Historical FY16-FY25'!B7</f>
        <v>County</v>
      </c>
      <c r="C8" s="23">
        <f>'Historical FY16-FY25'!D7</f>
        <v>1288843</v>
      </c>
      <c r="D8" s="26">
        <f>'Projection FY26-FY45'!D7</f>
        <v>3.0452822030533788E-2</v>
      </c>
      <c r="E8" s="15">
        <f>$C8*(Assumptions!$B$28/Assumptions!$B$29)*(1+$D8)^2</f>
        <v>1368536.0529732672</v>
      </c>
      <c r="F8" s="15">
        <f>$C8*(Assumptions!$B$28/Assumptions!$B$29)*(1+$D8)^10</f>
        <v>1739727.172293728</v>
      </c>
      <c r="G8" s="15">
        <f>$C8*(Assumptions!$B$28/Assumptions!$B$29)*(1+$D8)^20</f>
        <v>2348347.0321964207</v>
      </c>
      <c r="H8" s="15">
        <f>IF($D8=0,$C8*(Assumptions!$B$28/Assumptions!$B$29)*20,$C8*(Assumptions!$B$28/Assumptions!$B$29)*(1+$D8)*((1+$D8)^20-1)/$D8)</f>
        <v>35851157.532620773</v>
      </c>
      <c r="I8" s="15">
        <f>H8/20</f>
        <v>1792557.8766310387</v>
      </c>
      <c r="J8" s="10">
        <f>IFERROR(H8/$H$139,0)</f>
        <v>5.8416847709497391E-4</v>
      </c>
      <c r="K8" s="15">
        <f>'Projection FY26-FY45'!E7*0.01</f>
        <v>37138.725335782212</v>
      </c>
    </row>
    <row r="9" spans="1:11">
      <c r="A9" s="24" t="str">
        <f>'Historical FY16-FY25'!A8</f>
        <v>Amelia County</v>
      </c>
      <c r="B9" s="24" t="str">
        <f>'Historical FY16-FY25'!B8</f>
        <v>County</v>
      </c>
      <c r="C9" s="25">
        <f>'Historical FY16-FY25'!D8</f>
        <v>1519698</v>
      </c>
      <c r="D9" s="27">
        <f>'Projection FY26-FY45'!D8</f>
        <v>4.6320238926338519E-2</v>
      </c>
      <c r="E9" s="18">
        <f>$C9*(Assumptions!$B$28/Assumptions!$B$29)*(1+$D9)^2</f>
        <v>1663744.1590432413</v>
      </c>
      <c r="F9" s="18">
        <f>$C9*(Assumptions!$B$28/Assumptions!$B$29)*(1+$D9)^10</f>
        <v>2390031.0951617379</v>
      </c>
      <c r="G9" s="18">
        <f>$C9*(Assumptions!$B$28/Assumptions!$B$29)*(1+$D9)^20</f>
        <v>3758805.1282820781</v>
      </c>
      <c r="H9" s="18">
        <f>IF($D9=0,$C9*(Assumptions!$B$28/Assumptions!$B$29)*20,$C9*(Assumptions!$B$28/Assumptions!$B$29)*(1+$D9)*((1+$D9)^20-1)/$D9)</f>
        <v>50578821.693287946</v>
      </c>
      <c r="I9" s="18">
        <f>H9/20</f>
        <v>2528941.0846643974</v>
      </c>
      <c r="J9" s="19">
        <f>IFERROR(H9/$H$139,0)</f>
        <v>8.2414502837019983E-4</v>
      </c>
      <c r="K9" s="18">
        <f>'Projection FY26-FY45'!E8*0.01</f>
        <v>38650.902214700713</v>
      </c>
    </row>
    <row r="10" spans="1:11">
      <c r="A10" s="22" t="str">
        <f>'Historical FY16-FY25'!A9</f>
        <v>Amherst County</v>
      </c>
      <c r="B10" s="22" t="str">
        <f>'Historical FY16-FY25'!B9</f>
        <v>County</v>
      </c>
      <c r="C10" s="23">
        <f>'Historical FY16-FY25'!D9</f>
        <v>4726734</v>
      </c>
      <c r="D10" s="26">
        <f>'Projection FY26-FY45'!D9</f>
        <v>4.4451560135465806E-2</v>
      </c>
      <c r="E10" s="15">
        <f>$C10*(Assumptions!$B$28/Assumptions!$B$29)*(1+$D10)^2</f>
        <v>5156295.1497355439</v>
      </c>
      <c r="F10" s="15">
        <f>$C10*(Assumptions!$B$28/Assumptions!$B$29)*(1+$D10)^10</f>
        <v>7302039.7422576919</v>
      </c>
      <c r="G10" s="15">
        <f>$C10*(Assumptions!$B$28/Assumptions!$B$29)*(1+$D10)^20</f>
        <v>11280470.700807529</v>
      </c>
      <c r="H10" s="15">
        <f>IF($D10=0,$C10*(Assumptions!$B$28/Assumptions!$B$29)*20,$C10*(Assumptions!$B$28/Assumptions!$B$29)*(1+$D10)*((1+$D10)^20-1)/$D10)</f>
        <v>153989207.60070539</v>
      </c>
      <c r="I10" s="15">
        <f>H10/20</f>
        <v>7699460.3800352691</v>
      </c>
      <c r="J10" s="10">
        <f>IFERROR(H10/$H$139,0)</f>
        <v>2.509141882275787E-3</v>
      </c>
      <c r="K10" s="15">
        <f>'Projection FY26-FY45'!E9*0.01</f>
        <v>103121.61655202732</v>
      </c>
    </row>
    <row r="11" spans="1:11">
      <c r="A11" s="24" t="str">
        <f>'Historical FY16-FY25'!A10</f>
        <v>Appomattox County</v>
      </c>
      <c r="B11" s="24" t="str">
        <f>'Historical FY16-FY25'!B10</f>
        <v>County</v>
      </c>
      <c r="C11" s="25">
        <f>'Historical FY16-FY25'!D10</f>
        <v>2192135</v>
      </c>
      <c r="D11" s="27">
        <f>'Projection FY26-FY45'!D10</f>
        <v>4.7968775654217644E-2</v>
      </c>
      <c r="E11" s="18">
        <f>$C11*(Assumptions!$B$28/Assumptions!$B$29)*(1+$D11)^2</f>
        <v>2407487.1742085614</v>
      </c>
      <c r="F11" s="18">
        <f>$C11*(Assumptions!$B$28/Assumptions!$B$29)*(1+$D11)^10</f>
        <v>3502278.8866970092</v>
      </c>
      <c r="G11" s="18">
        <f>$C11*(Assumptions!$B$28/Assumptions!$B$29)*(1+$D11)^20</f>
        <v>5595438.8758920608</v>
      </c>
      <c r="H11" s="18">
        <f>IF($D11=0,$C11*(Assumptions!$B$28/Assumptions!$B$29)*20,$C11*(Assumptions!$B$28/Assumptions!$B$29)*(1+$D11)*((1+$D11)^20-1)/$D11)</f>
        <v>74351620.347939163</v>
      </c>
      <c r="I11" s="18">
        <f>H11/20</f>
        <v>3717581.0173969581</v>
      </c>
      <c r="J11" s="19">
        <f>IFERROR(H11/$H$139,0)</f>
        <v>1.2115054524719057E-3</v>
      </c>
      <c r="K11" s="18">
        <f>'Projection FY26-FY45'!E10*0.01</f>
        <v>53980.525804252793</v>
      </c>
    </row>
    <row r="12" spans="1:11">
      <c r="A12" s="22" t="str">
        <f>'Historical FY16-FY25'!A11</f>
        <v>Arlington County</v>
      </c>
      <c r="B12" s="22" t="str">
        <f>'Historical FY16-FY25'!B11</f>
        <v>County</v>
      </c>
      <c r="C12" s="23">
        <f>'Historical FY16-FY25'!D11</f>
        <v>55138617</v>
      </c>
      <c r="D12" s="26">
        <f>'Projection FY26-FY45'!D11</f>
        <v>4.1409246430360147E-2</v>
      </c>
      <c r="E12" s="15">
        <f>$C12*(Assumptions!$B$28/Assumptions!$B$29)*(1+$D12)^2</f>
        <v>59799661.761441618</v>
      </c>
      <c r="F12" s="15">
        <f>$C12*(Assumptions!$B$28/Assumptions!$B$29)*(1+$D12)^10</f>
        <v>82731359.761646196</v>
      </c>
      <c r="G12" s="15">
        <f>$C12*(Assumptions!$B$28/Assumptions!$B$29)*(1+$D12)^20</f>
        <v>124132200.99464832</v>
      </c>
      <c r="H12" s="15">
        <f>IF($D12=0,$C12*(Assumptions!$B$28/Assumptions!$B$29)*20,$C12*(Assumptions!$B$28/Assumptions!$B$29)*(1+$D12)*((1+$D12)^20-1)/$D12)</f>
        <v>1735133152.8631141</v>
      </c>
      <c r="I12" s="15">
        <f>H12/20</f>
        <v>86756657.643155709</v>
      </c>
      <c r="J12" s="10">
        <f>IFERROR(H12/$H$139,0)</f>
        <v>2.8272729842621337E-2</v>
      </c>
      <c r="K12" s="15">
        <f>'Projection FY26-FY45'!E11*0.01</f>
        <v>929738.07898005052</v>
      </c>
    </row>
    <row r="13" spans="1:11">
      <c r="A13" s="24" t="str">
        <f>'Historical FY16-FY25'!A12</f>
        <v>Augusta County</v>
      </c>
      <c r="B13" s="24" t="str">
        <f>'Historical FY16-FY25'!B12</f>
        <v>County</v>
      </c>
      <c r="C13" s="25">
        <f>'Historical FY16-FY25'!D12</f>
        <v>9993991</v>
      </c>
      <c r="D13" s="27">
        <f>'Projection FY26-FY45'!D12</f>
        <v>4.6558954791144358E-2</v>
      </c>
      <c r="E13" s="18">
        <f>$C13*(Assumptions!$B$28/Assumptions!$B$29)*(1+$D13)^2</f>
        <v>10946274.887089394</v>
      </c>
      <c r="F13" s="18">
        <f>$C13*(Assumptions!$B$28/Assumptions!$B$29)*(1+$D13)^10</f>
        <v>15753459.273917409</v>
      </c>
      <c r="G13" s="18">
        <f>$C13*(Assumptions!$B$28/Assumptions!$B$29)*(1+$D13)^20</f>
        <v>24832069.500060022</v>
      </c>
      <c r="H13" s="18">
        <f>IF($D13=0,$C13*(Assumptions!$B$28/Assumptions!$B$29)*20,$C13*(Assumptions!$B$28/Assumptions!$B$29)*(1+$D13)*((1+$D13)^20-1)/$D13)</f>
        <v>333532485.76545388</v>
      </c>
      <c r="I13" s="18">
        <f>H13/20</f>
        <v>16676624.288272694</v>
      </c>
      <c r="J13" s="19">
        <f>IFERROR(H13/$H$139,0)</f>
        <v>5.43466871589915E-3</v>
      </c>
      <c r="K13" s="18">
        <f>'Projection FY26-FY45'!E12*0.01</f>
        <v>239809.17823298436</v>
      </c>
    </row>
    <row r="14" spans="1:11">
      <c r="A14" s="22" t="str">
        <f>'Historical FY16-FY25'!A13</f>
        <v>Bath County</v>
      </c>
      <c r="B14" s="22" t="str">
        <f>'Historical FY16-FY25'!B13</f>
        <v>County</v>
      </c>
      <c r="C14" s="23">
        <f>'Historical FY16-FY25'!D13</f>
        <v>1312575</v>
      </c>
      <c r="D14" s="26">
        <f>'Projection FY26-FY45'!D13</f>
        <v>4.8539703065038631E-2</v>
      </c>
      <c r="E14" s="15">
        <f>$C14*(Assumptions!$B$28/Assumptions!$B$29)*(1+$D14)^2</f>
        <v>1443091.5630992991</v>
      </c>
      <c r="F14" s="15">
        <f>$C14*(Assumptions!$B$28/Assumptions!$B$29)*(1+$D14)^10</f>
        <v>2108496.698750237</v>
      </c>
      <c r="G14" s="15">
        <f>$C14*(Assumptions!$B$28/Assumptions!$B$29)*(1+$D14)^20</f>
        <v>3387050.8951036301</v>
      </c>
      <c r="H14" s="15">
        <f>IF($D14=0,$C14*(Assumptions!$B$28/Assumptions!$B$29)*20,$C14*(Assumptions!$B$28/Assumptions!$B$29)*(1+$D14)*((1+$D14)^20-1)/$D14)</f>
        <v>44812188.82103619</v>
      </c>
      <c r="I14" s="15">
        <f>H14/20</f>
        <v>2240609.4410518096</v>
      </c>
      <c r="J14" s="10">
        <f>IFERROR(H14/$H$139,0)</f>
        <v>7.3018194949655473E-4</v>
      </c>
      <c r="K14" s="15">
        <f>'Projection FY26-FY45'!E13*0.01</f>
        <v>19766.640580903852</v>
      </c>
    </row>
    <row r="15" spans="1:11">
      <c r="A15" s="24" t="str">
        <f>'Historical FY16-FY25'!A14</f>
        <v>Bedford County</v>
      </c>
      <c r="B15" s="24" t="str">
        <f>'Historical FY16-FY25'!B14</f>
        <v>County</v>
      </c>
      <c r="C15" s="25">
        <f>'Historical FY16-FY25'!D14</f>
        <v>10883951</v>
      </c>
      <c r="D15" s="27">
        <f>'Projection FY26-FY45'!D14</f>
        <v>4.5642297482934913E-2</v>
      </c>
      <c r="E15" s="18">
        <f>$C15*(Assumptions!$B$28/Assumptions!$B$29)*(1+$D15)^2</f>
        <v>11900161.715659292</v>
      </c>
      <c r="F15" s="18">
        <f>$C15*(Assumptions!$B$28/Assumptions!$B$29)*(1+$D15)^10</f>
        <v>17006619.869111933</v>
      </c>
      <c r="G15" s="18">
        <f>$C15*(Assumptions!$B$28/Assumptions!$B$29)*(1+$D15)^20</f>
        <v>26573541.113192514</v>
      </c>
      <c r="H15" s="18">
        <f>IF($D15=0,$C15*(Assumptions!$B$28/Assumptions!$B$29)*20,$C15*(Assumptions!$B$28/Assumptions!$B$29)*(1+$D15)*((1+$D15)^20-1)/$D15)</f>
        <v>359440693.33183873</v>
      </c>
      <c r="I15" s="18">
        <f>H15/20</f>
        <v>17972034.666591935</v>
      </c>
      <c r="J15" s="19">
        <f>IFERROR(H15/$H$139,0)</f>
        <v>5.8568240715398843E-3</v>
      </c>
      <c r="K15" s="18">
        <f>'Projection FY26-FY45'!E14*0.01</f>
        <v>254059.72993227464</v>
      </c>
    </row>
    <row r="16" spans="1:11">
      <c r="A16" s="22" t="str">
        <f>'Historical FY16-FY25'!A15</f>
        <v>Bland County</v>
      </c>
      <c r="B16" s="22" t="str">
        <f>'Historical FY16-FY25'!B15</f>
        <v>County</v>
      </c>
      <c r="C16" s="23">
        <f>'Historical FY16-FY25'!D15</f>
        <v>607811</v>
      </c>
      <c r="D16" s="26">
        <f>'Projection FY26-FY45'!D15</f>
        <v>3.6061221006493782E-2</v>
      </c>
      <c r="E16" s="15">
        <f>$C16*(Assumptions!$B$28/Assumptions!$B$29)*(1+$D16)^2</f>
        <v>652438.21811412333</v>
      </c>
      <c r="F16" s="15">
        <f>$C16*(Assumptions!$B$28/Assumptions!$B$29)*(1+$D16)^10</f>
        <v>866209.10109548643</v>
      </c>
      <c r="G16" s="15">
        <f>$C16*(Assumptions!$B$28/Assumptions!$B$29)*(1+$D16)^20</f>
        <v>1234459.7363664864</v>
      </c>
      <c r="H16" s="15">
        <f>IF($D16=0,$C16*(Assumptions!$B$28/Assumptions!$B$29)*20,$C16*(Assumptions!$B$28/Assumptions!$B$29)*(1+$D16)*((1+$D16)^20-1)/$D16)</f>
        <v>18004006.431871071</v>
      </c>
      <c r="I16" s="15">
        <f>H16/20</f>
        <v>900200.32159355353</v>
      </c>
      <c r="J16" s="10">
        <f>IFERROR(H16/$H$139,0)</f>
        <v>2.9336216018533123E-4</v>
      </c>
      <c r="K16" s="15">
        <f>'Projection FY26-FY45'!E15*0.01</f>
        <v>14554.847048004474</v>
      </c>
    </row>
    <row r="17" spans="1:11">
      <c r="A17" s="24" t="str">
        <f>'Historical FY16-FY25'!A16</f>
        <v>Botetourt County</v>
      </c>
      <c r="B17" s="24" t="str">
        <f>'Historical FY16-FY25'!B16</f>
        <v>County</v>
      </c>
      <c r="C17" s="25">
        <f>'Historical FY16-FY25'!D16</f>
        <v>4739530</v>
      </c>
      <c r="D17" s="27">
        <f>'Projection FY26-FY45'!D16</f>
        <v>4.2534742526188052E-2</v>
      </c>
      <c r="E17" s="18">
        <f>$C17*(Assumptions!$B$28/Assumptions!$B$29)*(1+$D17)^2</f>
        <v>5151294.1546494411</v>
      </c>
      <c r="F17" s="18">
        <f>$C17*(Assumptions!$B$28/Assumptions!$B$29)*(1+$D17)^10</f>
        <v>7188539.183105533</v>
      </c>
      <c r="G17" s="18">
        <f>$C17*(Assumptions!$B$28/Assumptions!$B$29)*(1+$D17)^20</f>
        <v>10902999.999376217</v>
      </c>
      <c r="H17" s="18">
        <f>IF($D17=0,$C17*(Assumptions!$B$28/Assumptions!$B$29)*20,$C17*(Assumptions!$B$28/Assumptions!$B$29)*(1+$D17)*((1+$D17)^20-1)/$D17)</f>
        <v>151067838.365576</v>
      </c>
      <c r="I17" s="18">
        <f>H17/20</f>
        <v>7553391.9182788003</v>
      </c>
      <c r="J17" s="19">
        <f>IFERROR(H17/$H$139,0)</f>
        <v>2.4615403002190618E-3</v>
      </c>
      <c r="K17" s="18">
        <f>'Projection FY26-FY45'!E16*0.01</f>
        <v>108985.16413643784</v>
      </c>
    </row>
    <row r="18" spans="1:11">
      <c r="A18" s="22" t="str">
        <f>'Historical FY16-FY25'!A17</f>
        <v>Brunswick County</v>
      </c>
      <c r="B18" s="22" t="str">
        <f>'Historical FY16-FY25'!B17</f>
        <v>County</v>
      </c>
      <c r="C18" s="23">
        <f>'Historical FY16-FY25'!D17</f>
        <v>1240775</v>
      </c>
      <c r="D18" s="26">
        <f>'Projection FY26-FY45'!D17</f>
        <v>3.8664250112224741E-2</v>
      </c>
      <c r="E18" s="15">
        <f>$C18*(Assumptions!$B$28/Assumptions!$B$29)*(1+$D18)^2</f>
        <v>1338577.1344858331</v>
      </c>
      <c r="F18" s="15">
        <f>$C18*(Assumptions!$B$28/Assumptions!$B$29)*(1+$D18)^10</f>
        <v>1813196.5036996901</v>
      </c>
      <c r="G18" s="15">
        <f>$C18*(Assumptions!$B$28/Assumptions!$B$29)*(1+$D18)^20</f>
        <v>2649700.0350819291</v>
      </c>
      <c r="H18" s="15">
        <f>IF($D18=0,$C18*(Assumptions!$B$28/Assumptions!$B$29)*20,$C18*(Assumptions!$B$28/Assumptions!$B$29)*(1+$D18)*((1+$D18)^20-1)/$D18)</f>
        <v>37848918.853466101</v>
      </c>
      <c r="I18" s="15">
        <f>H18/20</f>
        <v>1892445.942673305</v>
      </c>
      <c r="J18" s="10">
        <f>IFERROR(H18/$H$139,0)</f>
        <v>6.1672054148328797E-4</v>
      </c>
      <c r="K18" s="15">
        <f>'Projection FY26-FY45'!E17*0.01</f>
        <v>34275.587881143379</v>
      </c>
    </row>
    <row r="19" spans="1:11">
      <c r="A19" s="24" t="str">
        <f>'Historical FY16-FY25'!A18</f>
        <v>Buchanan County</v>
      </c>
      <c r="B19" s="24" t="str">
        <f>'Historical FY16-FY25'!B18</f>
        <v>County</v>
      </c>
      <c r="C19" s="25">
        <f>'Historical FY16-FY25'!D18</f>
        <v>2276777</v>
      </c>
      <c r="D19" s="27">
        <f>'Projection FY26-FY45'!D18</f>
        <v>2.8201470035399856E-2</v>
      </c>
      <c r="E19" s="18">
        <f>$C19*(Assumptions!$B$28/Assumptions!$B$29)*(1+$D19)^2</f>
        <v>2407004.6895995485</v>
      </c>
      <c r="F19" s="18">
        <f>$C19*(Assumptions!$B$28/Assumptions!$B$29)*(1+$D19)^10</f>
        <v>3006787.2501125899</v>
      </c>
      <c r="G19" s="18">
        <f>$C19*(Assumptions!$B$28/Assumptions!$B$29)*(1+$D19)^20</f>
        <v>3970863.008296215</v>
      </c>
      <c r="H19" s="18">
        <f>IF($D19=0,$C19*(Assumptions!$B$28/Assumptions!$B$29)*20,$C19*(Assumptions!$B$28/Assumptions!$B$29)*(1+$D19)*((1+$D19)^20-1)/$D19)</f>
        <v>61764926.505962327</v>
      </c>
      <c r="I19" s="18">
        <f>H19/20</f>
        <v>3088246.3252981165</v>
      </c>
      <c r="J19" s="19">
        <f>IFERROR(H19/$H$139,0)</f>
        <v>1.0064144518078944E-3</v>
      </c>
      <c r="K19" s="18">
        <f>'Projection FY26-FY45'!E18*0.01</f>
        <v>53556.485198527698</v>
      </c>
    </row>
    <row r="20" spans="1:11">
      <c r="A20" s="22" t="str">
        <f>'Historical FY16-FY25'!A19</f>
        <v>Buckingham County</v>
      </c>
      <c r="B20" s="22" t="str">
        <f>'Historical FY16-FY25'!B19</f>
        <v>County</v>
      </c>
      <c r="C20" s="23">
        <f>'Historical FY16-FY25'!D19</f>
        <v>1279636</v>
      </c>
      <c r="D20" s="26">
        <f>'Projection FY26-FY45'!D19</f>
        <v>3.7099894579201931E-2</v>
      </c>
      <c r="E20" s="15">
        <f>$C20*(Assumptions!$B$28/Assumptions!$B$29)*(1+$D20)^2</f>
        <v>1376346.0151766785</v>
      </c>
      <c r="F20" s="15">
        <f>$C20*(Assumptions!$B$28/Assumptions!$B$29)*(1+$D20)^10</f>
        <v>1842011.5572888532</v>
      </c>
      <c r="G20" s="15">
        <f>$C20*(Assumptions!$B$28/Assumptions!$B$29)*(1+$D20)^20</f>
        <v>2651540.4202333367</v>
      </c>
      <c r="H20" s="15">
        <f>IF($D20=0,$C20*(Assumptions!$B$28/Assumptions!$B$29)*20,$C20*(Assumptions!$B$28/Assumptions!$B$29)*(1+$D20)*((1+$D20)^20-1)/$D20)</f>
        <v>38350565.297680184</v>
      </c>
      <c r="I20" s="15">
        <f>H20/20</f>
        <v>1917528.2648840093</v>
      </c>
      <c r="J20" s="10">
        <f>IFERROR(H20/$H$139,0)</f>
        <v>6.2489450459982077E-4</v>
      </c>
      <c r="K20" s="15">
        <f>'Projection FY26-FY45'!E19*0.01</f>
        <v>40187.289042977805</v>
      </c>
    </row>
    <row r="21" spans="1:11">
      <c r="A21" s="24" t="str">
        <f>'Historical FY16-FY25'!A20</f>
        <v>Campbell County</v>
      </c>
      <c r="B21" s="24" t="str">
        <f>'Historical FY16-FY25'!B20</f>
        <v>County</v>
      </c>
      <c r="C21" s="25">
        <f>'Historical FY16-FY25'!D20</f>
        <v>9111831</v>
      </c>
      <c r="D21" s="27">
        <f>'Projection FY26-FY45'!D20</f>
        <v>4.5156299000178479E-2</v>
      </c>
      <c r="E21" s="18">
        <f>$C21*(Assumptions!$B$28/Assumptions!$B$29)*(1+$D21)^2</f>
        <v>9953323.9858283065</v>
      </c>
      <c r="F21" s="18">
        <f>$C21*(Assumptions!$B$28/Assumptions!$B$29)*(1+$D21)^10</f>
        <v>14171573.691906994</v>
      </c>
      <c r="G21" s="18">
        <f>$C21*(Assumptions!$B$28/Assumptions!$B$29)*(1+$D21)^20</f>
        <v>22040959.814240456</v>
      </c>
      <c r="H21" s="18">
        <f>IF($D21=0,$C21*(Assumptions!$B$28/Assumptions!$B$29)*20,$C21*(Assumptions!$B$28/Assumptions!$B$29)*(1+$D21)*((1+$D21)^20-1)/$D21)</f>
        <v>299248625.77277887</v>
      </c>
      <c r="I21" s="18">
        <f>H21/20</f>
        <v>14962431.288638944</v>
      </c>
      <c r="J21" s="19">
        <f>IFERROR(H21/$H$139,0)</f>
        <v>4.8760382096836863E-3</v>
      </c>
      <c r="K21" s="18">
        <f>'Projection FY26-FY45'!E20*0.01</f>
        <v>195113.22691314001</v>
      </c>
    </row>
    <row r="22" spans="1:11">
      <c r="A22" s="22" t="str">
        <f>'Historical FY16-FY25'!A21</f>
        <v>Caroline County</v>
      </c>
      <c r="B22" s="22" t="str">
        <f>'Historical FY16-FY25'!B21</f>
        <v>County</v>
      </c>
      <c r="C22" s="23">
        <f>'Historical FY16-FY25'!D21</f>
        <v>4307499</v>
      </c>
      <c r="D22" s="26">
        <f>'Projection FY26-FY45'!D21</f>
        <v>5.4609755421761164E-2</v>
      </c>
      <c r="E22" s="15">
        <f>$C22*(Assumptions!$B$28/Assumptions!$B$29)*(1+$D22)^2</f>
        <v>4790807.8666122062</v>
      </c>
      <c r="F22" s="15">
        <f>$C22*(Assumptions!$B$28/Assumptions!$B$29)*(1+$D22)^10</f>
        <v>7330659.1843432151</v>
      </c>
      <c r="G22" s="15">
        <f>$C22*(Assumptions!$B$28/Assumptions!$B$29)*(1+$D22)^20</f>
        <v>12475583.645404335</v>
      </c>
      <c r="H22" s="15">
        <f>IF($D22=0,$C22*(Assumptions!$B$28/Assumptions!$B$29)*20,$C22*(Assumptions!$B$28/Assumptions!$B$29)*(1+$D22)*((1+$D22)^20-1)/$D22)</f>
        <v>157739980.40506706</v>
      </c>
      <c r="I22" s="15">
        <f>H22/20</f>
        <v>7886999.0202533528</v>
      </c>
      <c r="J22" s="10">
        <f>IFERROR(H22/$H$139,0)</f>
        <v>2.5702579908717105E-3</v>
      </c>
      <c r="K22" s="15">
        <f>'Projection FY26-FY45'!E21*0.01</f>
        <v>108462.67965074042</v>
      </c>
    </row>
    <row r="23" spans="1:11">
      <c r="A23" s="24" t="str">
        <f>'Historical FY16-FY25'!A22</f>
        <v>Carroll County</v>
      </c>
      <c r="B23" s="24" t="str">
        <f>'Historical FY16-FY25'!B22</f>
        <v>County</v>
      </c>
      <c r="C23" s="25">
        <f>'Historical FY16-FY25'!D22</f>
        <v>3293285</v>
      </c>
      <c r="D23" s="27">
        <f>'Projection FY26-FY45'!D22</f>
        <v>4.0622585702957736E-2</v>
      </c>
      <c r="E23" s="18">
        <f>$C23*(Assumptions!$B$28/Assumptions!$B$29)*(1+$D23)^2</f>
        <v>3566283.0650060098</v>
      </c>
      <c r="F23" s="18">
        <f>$C23*(Assumptions!$B$28/Assumptions!$B$29)*(1+$D23)^10</f>
        <v>4904127.9451872939</v>
      </c>
      <c r="G23" s="18">
        <f>$C23*(Assumptions!$B$28/Assumptions!$B$29)*(1+$D23)^20</f>
        <v>7302881.7435378227</v>
      </c>
      <c r="H23" s="18">
        <f>IF($D23=0,$C23*(Assumptions!$B$28/Assumptions!$B$29)*20,$C23*(Assumptions!$B$28/Assumptions!$B$29)*(1+$D23)*((1+$D23)^20-1)/$D23)</f>
        <v>102713228.5816727</v>
      </c>
      <c r="I23" s="18">
        <f>H23/20</f>
        <v>5135661.4290836351</v>
      </c>
      <c r="J23" s="19">
        <f>IFERROR(H23/$H$139,0)</f>
        <v>1.6736371834987016E-3</v>
      </c>
      <c r="K23" s="18">
        <f>'Projection FY26-FY45'!E22*0.01</f>
        <v>80321.338806680636</v>
      </c>
    </row>
    <row r="24" spans="1:11">
      <c r="A24" s="22" t="str">
        <f>'Historical FY16-FY25'!A23</f>
        <v>Charles City County</v>
      </c>
      <c r="B24" s="22" t="str">
        <f>'Historical FY16-FY25'!B23</f>
        <v>County</v>
      </c>
      <c r="C24" s="23">
        <f>'Historical FY16-FY25'!D23</f>
        <v>1499340</v>
      </c>
      <c r="D24" s="26">
        <f>'Projection FY26-FY45'!D23</f>
        <v>4.6285551934509783E-2</v>
      </c>
      <c r="E24" s="15">
        <f>$C24*(Assumptions!$B$28/Assumptions!$B$29)*(1+$D24)^2</f>
        <v>1641347.6733992693</v>
      </c>
      <c r="F24" s="15">
        <f>$C24*(Assumptions!$B$28/Assumptions!$B$29)*(1+$D24)^10</f>
        <v>2357232.4427831541</v>
      </c>
      <c r="G24" s="15">
        <f>$C24*(Assumptions!$B$28/Assumptions!$B$29)*(1+$D24)^20</f>
        <v>3705993.8301582271</v>
      </c>
      <c r="H24" s="15">
        <f>IF($D24=0,$C24*(Assumptions!$B$28/Assumptions!$B$29)*20,$C24*(Assumptions!$B$28/Assumptions!$B$29)*(1+$D24)*((1+$D24)^20-1)/$D24)</f>
        <v>49881440.841026306</v>
      </c>
      <c r="I24" s="15">
        <f>H24/20</f>
        <v>2494072.0420513153</v>
      </c>
      <c r="J24" s="10">
        <f>IFERROR(H24/$H$139,0)</f>
        <v>8.1278171576166841E-4</v>
      </c>
      <c r="K24" s="15">
        <f>'Projection FY26-FY45'!E23*0.01</f>
        <v>24076.599978340972</v>
      </c>
    </row>
    <row r="25" spans="1:11">
      <c r="A25" s="24" t="str">
        <f>'Historical FY16-FY25'!A24</f>
        <v>Charlotte County</v>
      </c>
      <c r="B25" s="24" t="str">
        <f>'Historical FY16-FY25'!B24</f>
        <v>County</v>
      </c>
      <c r="C25" s="25">
        <f>'Historical FY16-FY25'!D24</f>
        <v>1061775</v>
      </c>
      <c r="D25" s="27">
        <f>'Projection FY26-FY45'!D24</f>
        <v>3.2627848561528561E-2</v>
      </c>
      <c r="E25" s="18">
        <f>$C25*(Assumptions!$B$28/Assumptions!$B$29)*(1+$D25)^2</f>
        <v>1132192.2085279839</v>
      </c>
      <c r="F25" s="18">
        <f>$C25*(Assumptions!$B$28/Assumptions!$B$29)*(1+$D25)^10</f>
        <v>1463763.209873473</v>
      </c>
      <c r="G25" s="18">
        <f>$C25*(Assumptions!$B$28/Assumptions!$B$29)*(1+$D25)^20</f>
        <v>2017944.229784176</v>
      </c>
      <c r="H25" s="18">
        <f>IF($D25=0,$C25*(Assumptions!$B$28/Assumptions!$B$29)*20,$C25*(Assumptions!$B$28/Assumptions!$B$29)*(1+$D25)*((1+$D25)^20-1)/$D25)</f>
        <v>30261479.629918657</v>
      </c>
      <c r="I25" s="18">
        <f>H25/20</f>
        <v>1513073.9814959329</v>
      </c>
      <c r="J25" s="19">
        <f>IFERROR(H25/$H$139,0)</f>
        <v>4.9308875045290298E-4</v>
      </c>
      <c r="K25" s="18">
        <f>'Projection FY26-FY45'!E24*0.01</f>
        <v>31465.38904653108</v>
      </c>
    </row>
    <row r="26" spans="1:11">
      <c r="A26" s="22" t="str">
        <f>'Historical FY16-FY25'!A25</f>
        <v>Chesterfield County</v>
      </c>
      <c r="B26" s="22" t="str">
        <f>'Historical FY16-FY25'!B25</f>
        <v>County</v>
      </c>
      <c r="C26" s="23">
        <f>'Historical FY16-FY25'!D25</f>
        <v>79728774</v>
      </c>
      <c r="D26" s="26">
        <f>'Projection FY26-FY45'!D25</f>
        <v>5.0393237599893781E-2</v>
      </c>
      <c r="E26" s="15">
        <f>$C26*(Assumptions!$B$28/Assumptions!$B$29)*(1+$D26)^2</f>
        <v>87966825.602557018</v>
      </c>
      <c r="F26" s="15">
        <f>$C26*(Assumptions!$B$28/Assumptions!$B$29)*(1+$D26)^10</f>
        <v>130356969.96066575</v>
      </c>
      <c r="G26" s="15">
        <f>$C26*(Assumptions!$B$28/Assumptions!$B$29)*(1+$D26)^20</f>
        <v>213134339.8974869</v>
      </c>
      <c r="H26" s="15">
        <f>IF($D26=0,$C26*(Assumptions!$B$28/Assumptions!$B$29)*20,$C26*(Assumptions!$B$28/Assumptions!$B$29)*(1+$D26)*((1+$D26)^20-1)/$D26)</f>
        <v>2780696596.4259176</v>
      </c>
      <c r="I26" s="15">
        <f>H26/20</f>
        <v>139034829.82129589</v>
      </c>
      <c r="J26" s="10">
        <f>IFERROR(H26/$H$139,0)</f>
        <v>4.5309423957072437E-2</v>
      </c>
      <c r="K26" s="15">
        <f>'Projection FY26-FY45'!E25*0.01</f>
        <v>1652279.066677009</v>
      </c>
    </row>
    <row r="27" spans="1:11">
      <c r="A27" s="24" t="str">
        <f>'Historical FY16-FY25'!A26</f>
        <v>Clarke County</v>
      </c>
      <c r="B27" s="24" t="str">
        <f>'Historical FY16-FY25'!B26</f>
        <v>County</v>
      </c>
      <c r="C27" s="25">
        <f>'Historical FY16-FY25'!D26</f>
        <v>2113010</v>
      </c>
      <c r="D27" s="27">
        <f>'Projection FY26-FY45'!D26</f>
        <v>4.8400321056991991E-2</v>
      </c>
      <c r="E27" s="18">
        <f>$C27*(Assumptions!$B$28/Assumptions!$B$29)*(1+$D27)^2</f>
        <v>2322500.6431678818</v>
      </c>
      <c r="F27" s="18">
        <f>$C27*(Assumptions!$B$28/Assumptions!$B$29)*(1+$D27)^10</f>
        <v>3389791.6463611512</v>
      </c>
      <c r="G27" s="18">
        <f>$C27*(Assumptions!$B$28/Assumptions!$B$29)*(1+$D27)^20</f>
        <v>5438065.7951168446</v>
      </c>
      <c r="H27" s="18">
        <f>IF($D27=0,$C27*(Assumptions!$B$28/Assumptions!$B$29)*20,$C27*(Assumptions!$B$28/Assumptions!$B$29)*(1+$D27)*((1+$D27)^20-1)/$D27)</f>
        <v>72024099.985372305</v>
      </c>
      <c r="I27" s="18">
        <f>H27/20</f>
        <v>3601204.9992686152</v>
      </c>
      <c r="J27" s="19">
        <f>IFERROR(H27/$H$139,0)</f>
        <v>1.1735802048876102E-3</v>
      </c>
      <c r="K27" s="18">
        <f>'Projection FY26-FY45'!E26*0.01</f>
        <v>49291.883046905437</v>
      </c>
    </row>
    <row r="28" spans="1:11">
      <c r="A28" s="22" t="str">
        <f>'Historical FY16-FY25'!A27</f>
        <v>Craig County</v>
      </c>
      <c r="B28" s="22" t="str">
        <f>'Historical FY16-FY25'!B27</f>
        <v>County</v>
      </c>
      <c r="C28" s="23">
        <f>'Historical FY16-FY25'!D27</f>
        <v>320926</v>
      </c>
      <c r="D28" s="26">
        <f>'Projection FY26-FY45'!D27</f>
        <v>3.4397984507900881E-2</v>
      </c>
      <c r="E28" s="15">
        <f>$C28*(Assumptions!$B$28/Assumptions!$B$29)*(1+$D28)^2</f>
        <v>343384.14164355013</v>
      </c>
      <c r="F28" s="15">
        <f>$C28*(Assumptions!$B$28/Assumptions!$B$29)*(1+$D28)^10</f>
        <v>450071.54861414997</v>
      </c>
      <c r="G28" s="15">
        <f>$C28*(Assumptions!$B$28/Assumptions!$B$29)*(1+$D28)^20</f>
        <v>631187.24837482523</v>
      </c>
      <c r="H28" s="15">
        <f>IF($D28=0,$C28*(Assumptions!$B$28/Assumptions!$B$29)*20,$C28*(Assumptions!$B$28/Assumptions!$B$29)*(1+$D28)*((1+$D28)^20-1)/$D28)</f>
        <v>9330012.0510290079</v>
      </c>
      <c r="I28" s="15">
        <f>H28/20</f>
        <v>466500.60255145037</v>
      </c>
      <c r="J28" s="10">
        <f>IFERROR(H28/$H$139,0)</f>
        <v>1.5202574494751453E-4</v>
      </c>
      <c r="K28" s="15">
        <f>'Projection FY26-FY45'!E27*0.01</f>
        <v>11216.722112568013</v>
      </c>
    </row>
    <row r="29" spans="1:11">
      <c r="A29" s="24" t="str">
        <f>'Historical FY16-FY25'!A28</f>
        <v>Culpeper County</v>
      </c>
      <c r="B29" s="24" t="str">
        <f>'Historical FY16-FY25'!B28</f>
        <v>County</v>
      </c>
      <c r="C29" s="25">
        <f>'Historical FY16-FY25'!D28</f>
        <v>12264416</v>
      </c>
      <c r="D29" s="27">
        <f>'Projection FY26-FY45'!D28</f>
        <v>4.7534430234624558E-2</v>
      </c>
      <c r="E29" s="18">
        <f>$C29*(Assumptions!$B$28/Assumptions!$B$29)*(1+$D29)^2</f>
        <v>13458091.771918008</v>
      </c>
      <c r="F29" s="18">
        <f>$C29*(Assumptions!$B$28/Assumptions!$B$29)*(1+$D29)^10</f>
        <v>19513264.668894835</v>
      </c>
      <c r="G29" s="18">
        <f>$C29*(Assumptions!$B$28/Assumptions!$B$29)*(1+$D29)^20</f>
        <v>31046525.006844144</v>
      </c>
      <c r="H29" s="18">
        <f>IF($D29=0,$C29*(Assumptions!$B$28/Assumptions!$B$29)*20,$C29*(Assumptions!$B$28/Assumptions!$B$29)*(1+$D29)*((1+$D29)^20-1)/$D29)</f>
        <v>413908523.98936909</v>
      </c>
      <c r="I29" s="18">
        <f>H29/20</f>
        <v>20695426.199468456</v>
      </c>
      <c r="J29" s="19">
        <f>IFERROR(H29/$H$139,0)</f>
        <v>6.7443376659593966E-3</v>
      </c>
      <c r="K29" s="18">
        <f>'Projection FY26-FY45'!E28*0.01</f>
        <v>243270.20920073608</v>
      </c>
    </row>
    <row r="30" spans="1:11">
      <c r="A30" s="22" t="str">
        <f>'Historical FY16-FY25'!A29</f>
        <v>Cumberland County</v>
      </c>
      <c r="B30" s="22" t="str">
        <f>'Historical FY16-FY25'!B29</f>
        <v>County</v>
      </c>
      <c r="C30" s="23">
        <f>'Historical FY16-FY25'!D29</f>
        <v>816959</v>
      </c>
      <c r="D30" s="26">
        <f>'Projection FY26-FY45'!D29</f>
        <v>3.8941164054624555E-2</v>
      </c>
      <c r="E30" s="15">
        <f>$C30*(Assumptions!$B$28/Assumptions!$B$29)*(1+$D30)^2</f>
        <v>881824.51716554735</v>
      </c>
      <c r="F30" s="15">
        <f>$C30*(Assumptions!$B$28/Assumptions!$B$29)*(1+$D30)^10</f>
        <v>1197043.1344833607</v>
      </c>
      <c r="G30" s="15">
        <f>$C30*(Assumptions!$B$28/Assumptions!$B$29)*(1+$D30)^20</f>
        <v>1753958.6023457102</v>
      </c>
      <c r="H30" s="15">
        <f>IF($D30=0,$C30*(Assumptions!$B$28/Assumptions!$B$29)*20,$C30*(Assumptions!$B$28/Assumptions!$B$29)*(1+$D30)*((1+$D30)^20-1)/$D30)</f>
        <v>24998930.59730358</v>
      </c>
      <c r="I30" s="15">
        <f>H30/20</f>
        <v>1249946.529865179</v>
      </c>
      <c r="J30" s="10">
        <f>IFERROR(H30/$H$139,0)</f>
        <v>4.0733935027738105E-4</v>
      </c>
      <c r="K30" s="15">
        <f>'Projection FY26-FY45'!E29*0.01</f>
        <v>25716.370384438811</v>
      </c>
    </row>
    <row r="31" spans="1:11">
      <c r="A31" s="24" t="str">
        <f>'Historical FY16-FY25'!A30</f>
        <v>Dickenson County</v>
      </c>
      <c r="B31" s="24" t="str">
        <f>'Historical FY16-FY25'!B30</f>
        <v>County</v>
      </c>
      <c r="C31" s="25">
        <f>'Historical FY16-FY25'!D30</f>
        <v>1127255</v>
      </c>
      <c r="D31" s="27">
        <f>'Projection FY26-FY45'!D30</f>
        <v>3.5018116531645771E-2</v>
      </c>
      <c r="E31" s="18">
        <f>$C31*(Assumptions!$B$28/Assumptions!$B$29)*(1+$D31)^2</f>
        <v>1207586.0111832968</v>
      </c>
      <c r="F31" s="18">
        <f>$C31*(Assumptions!$B$28/Assumptions!$B$29)*(1+$D31)^10</f>
        <v>1590382.8580564002</v>
      </c>
      <c r="G31" s="18">
        <f>$C31*(Assumptions!$B$28/Assumptions!$B$29)*(1+$D31)^20</f>
        <v>2243784.800421949</v>
      </c>
      <c r="H31" s="18">
        <f>IF($D31=0,$C31*(Assumptions!$B$28/Assumptions!$B$29)*20,$C31*(Assumptions!$B$28/Assumptions!$B$29)*(1+$D31)*((1+$D31)^20-1)/$D31)</f>
        <v>33000877.418402605</v>
      </c>
      <c r="I31" s="18">
        <f>H31/20</f>
        <v>1650043.8709201303</v>
      </c>
      <c r="J31" s="19">
        <f>IFERROR(H31/$H$139,0)</f>
        <v>5.3772524044070691E-4</v>
      </c>
      <c r="K31" s="18">
        <f>'Projection FY26-FY45'!E30*0.01</f>
        <v>35660.576288068311</v>
      </c>
    </row>
    <row r="32" spans="1:11">
      <c r="A32" s="22" t="str">
        <f>'Historical FY16-FY25'!A31</f>
        <v>Dinwiddie County</v>
      </c>
      <c r="B32" s="22" t="str">
        <f>'Historical FY16-FY25'!B31</f>
        <v>County</v>
      </c>
      <c r="C32" s="23">
        <f>'Historical FY16-FY25'!D31</f>
        <v>3582324</v>
      </c>
      <c r="D32" s="26">
        <f>'Projection FY26-FY45'!D31</f>
        <v>5.0324180856063716E-2</v>
      </c>
      <c r="E32" s="15">
        <f>$C32*(Assumptions!$B$28/Assumptions!$B$29)*(1+$D32)^2</f>
        <v>3951951.3602861278</v>
      </c>
      <c r="F32" s="15">
        <f>$C32*(Assumptions!$B$28/Assumptions!$B$29)*(1+$D32)^10</f>
        <v>5853269.2641154677</v>
      </c>
      <c r="G32" s="15">
        <f>$C32*(Assumptions!$B$28/Assumptions!$B$29)*(1+$D32)^20</f>
        <v>9563836.5145751256</v>
      </c>
      <c r="H32" s="15">
        <f>IF($D32=0,$C32*(Assumptions!$B$28/Assumptions!$B$29)*20,$C32*(Assumptions!$B$28/Assumptions!$B$29)*(1+$D32)*((1+$D32)^20-1)/$D32)</f>
        <v>124841122.60307983</v>
      </c>
      <c r="I32" s="15">
        <f>H32/20</f>
        <v>6242056.1301539913</v>
      </c>
      <c r="J32" s="10">
        <f>IFERROR(H32/$H$139,0)</f>
        <v>2.034195085709884E-3</v>
      </c>
      <c r="K32" s="15">
        <f>'Projection FY26-FY45'!E31*0.01</f>
        <v>90875.529084761642</v>
      </c>
    </row>
    <row r="33" spans="1:11">
      <c r="A33" s="24" t="str">
        <f>'Historical FY16-FY25'!A32</f>
        <v>Essex County</v>
      </c>
      <c r="B33" s="24" t="str">
        <f>'Historical FY16-FY25'!B32</f>
        <v>County</v>
      </c>
      <c r="C33" s="25">
        <f>'Historical FY16-FY25'!D32</f>
        <v>2910076</v>
      </c>
      <c r="D33" s="27">
        <f>'Projection FY26-FY45'!D32</f>
        <v>4.054201481562214E-2</v>
      </c>
      <c r="E33" s="18">
        <f>$C33*(Assumptions!$B$28/Assumptions!$B$29)*(1+$D33)^2</f>
        <v>3150819.8494800027</v>
      </c>
      <c r="F33" s="18">
        <f>$C33*(Assumptions!$B$28/Assumptions!$B$29)*(1+$D33)^10</f>
        <v>4330126.0503407456</v>
      </c>
      <c r="G33" s="18">
        <f>$C33*(Assumptions!$B$28/Assumptions!$B$29)*(1+$D33)^20</f>
        <v>6443127.812414364</v>
      </c>
      <c r="H33" s="18">
        <f>IF($D33=0,$C33*(Assumptions!$B$28/Assumptions!$B$29)*20,$C33*(Assumptions!$B$28/Assumptions!$B$29)*(1+$D33)*((1+$D33)^20-1)/$D33)</f>
        <v>90678494.101902306</v>
      </c>
      <c r="I33" s="18">
        <f>H33/20</f>
        <v>4533924.7050951151</v>
      </c>
      <c r="J33" s="19">
        <f>IFERROR(H33/$H$139,0)</f>
        <v>1.4775399582726263E-3</v>
      </c>
      <c r="K33" s="18">
        <f>'Projection FY26-FY45'!E32*0.01</f>
        <v>46926.977703943674</v>
      </c>
    </row>
    <row r="34" spans="1:11">
      <c r="A34" s="22" t="str">
        <f>'Historical FY16-FY25'!A33</f>
        <v>Fairfax County</v>
      </c>
      <c r="B34" s="22" t="str">
        <f>'Historical FY16-FY25'!B33</f>
        <v>County</v>
      </c>
      <c r="C34" s="23">
        <f>'Historical FY16-FY25'!D33</f>
        <v>254670650</v>
      </c>
      <c r="D34" s="26">
        <f>'Projection FY26-FY45'!D33</f>
        <v>3.9666120254270743E-2</v>
      </c>
      <c r="E34" s="15">
        <f>$C34*(Assumptions!$B$28/Assumptions!$B$29)*(1+$D34)^2</f>
        <v>275274942.33610231</v>
      </c>
      <c r="F34" s="15">
        <f>$C34*(Assumptions!$B$28/Assumptions!$B$29)*(1+$D34)^10</f>
        <v>375766287.99900973</v>
      </c>
      <c r="G34" s="15">
        <f>$C34*(Assumptions!$B$28/Assumptions!$B$29)*(1+$D34)^20</f>
        <v>554442780.10267258</v>
      </c>
      <c r="H34" s="15">
        <f>IF($D34=0,$C34*(Assumptions!$B$28/Assumptions!$B$29)*20,$C34*(Assumptions!$B$28/Assumptions!$B$29)*(1+$D34)*((1+$D34)^20-1)/$D34)</f>
        <v>7857156824.6745338</v>
      </c>
      <c r="I34" s="15">
        <f>H34/20</f>
        <v>392857841.23372668</v>
      </c>
      <c r="J34" s="10">
        <f>IFERROR(H34/$H$139,0)</f>
        <v>0.12802664272109418</v>
      </c>
      <c r="K34" s="15">
        <f>'Projection FY26-FY45'!E33*0.01</f>
        <v>4945339.6511179423</v>
      </c>
    </row>
    <row r="35" spans="1:11">
      <c r="A35" s="24" t="str">
        <f>'Historical FY16-FY25'!A34</f>
        <v>Fauquier County</v>
      </c>
      <c r="B35" s="24" t="str">
        <f>'Historical FY16-FY25'!B34</f>
        <v>County</v>
      </c>
      <c r="C35" s="25">
        <f>'Historical FY16-FY25'!D34</f>
        <v>17368344</v>
      </c>
      <c r="D35" s="27">
        <f>'Projection FY26-FY45'!D34</f>
        <v>5.2366396815475391E-2</v>
      </c>
      <c r="E35" s="18">
        <f>$C35*(Assumptions!$B$28/Assumptions!$B$29)*(1+$D35)^2</f>
        <v>19235007.34709784</v>
      </c>
      <c r="F35" s="18">
        <f>$C35*(Assumptions!$B$28/Assumptions!$B$29)*(1+$D35)^10</f>
        <v>28935309.610148545</v>
      </c>
      <c r="G35" s="18">
        <f>$C35*(Assumptions!$B$28/Assumptions!$B$29)*(1+$D35)^20</f>
        <v>48205640.228864342</v>
      </c>
      <c r="H35" s="18">
        <f>IF($D35=0,$C35*(Assumptions!$B$28/Assumptions!$B$29)*20,$C35*(Assumptions!$B$28/Assumptions!$B$29)*(1+$D35)*((1+$D35)^20-1)/$D35)</f>
        <v>619712951.30833054</v>
      </c>
      <c r="I35" s="18">
        <f>H35/20</f>
        <v>30985647.565416526</v>
      </c>
      <c r="J35" s="19">
        <f>IFERROR(H35/$H$139,0)</f>
        <v>1.009777078110859E-2</v>
      </c>
      <c r="K35" s="18">
        <f>'Projection FY26-FY45'!E34*0.01</f>
        <v>334944.81947770057</v>
      </c>
    </row>
    <row r="36" spans="1:11">
      <c r="A36" s="22" t="str">
        <f>'Historical FY16-FY25'!A35</f>
        <v>Floyd County</v>
      </c>
      <c r="B36" s="22" t="str">
        <f>'Historical FY16-FY25'!B35</f>
        <v>County</v>
      </c>
      <c r="C36" s="23">
        <f>'Historical FY16-FY25'!D35</f>
        <v>1851131</v>
      </c>
      <c r="D36" s="26">
        <f>'Projection FY26-FY45'!D35</f>
        <v>4.543527674007708E-2</v>
      </c>
      <c r="E36" s="15">
        <f>$C36*(Assumptions!$B$28/Assumptions!$B$29)*(1+$D36)^2</f>
        <v>2023165.7074194038</v>
      </c>
      <c r="F36" s="15">
        <f>$C36*(Assumptions!$B$28/Assumptions!$B$29)*(1+$D36)^10</f>
        <v>2886746.5831284602</v>
      </c>
      <c r="G36" s="15">
        <f>$C36*(Assumptions!$B$28/Assumptions!$B$29)*(1+$D36)^20</f>
        <v>4501737.4973482918</v>
      </c>
      <c r="H36" s="15">
        <f>IF($D36=0,$C36*(Assumptions!$B$28/Assumptions!$B$29)*20,$C36*(Assumptions!$B$28/Assumptions!$B$29)*(1+$D36)*((1+$D36)^20-1)/$D36)</f>
        <v>60988679.631835699</v>
      </c>
      <c r="I36" s="15">
        <f>H36/20</f>
        <v>3049433.9815917849</v>
      </c>
      <c r="J36" s="10">
        <f>IFERROR(H36/$H$139,0)</f>
        <v>9.9376607486509469E-4</v>
      </c>
      <c r="K36" s="15">
        <f>'Projection FY26-FY45'!E35*0.01</f>
        <v>44930.73823244057</v>
      </c>
    </row>
    <row r="37" spans="1:11">
      <c r="A37" s="24" t="str">
        <f>'Historical FY16-FY25'!A36</f>
        <v>Fluvanna County</v>
      </c>
      <c r="B37" s="24" t="str">
        <f>'Historical FY16-FY25'!B36</f>
        <v>County</v>
      </c>
      <c r="C37" s="25">
        <f>'Historical FY16-FY25'!D36</f>
        <v>2922367</v>
      </c>
      <c r="D37" s="27">
        <f>'Projection FY26-FY45'!D36</f>
        <v>4.2667813135817911E-2</v>
      </c>
      <c r="E37" s="18">
        <f>$C37*(Assumptions!$B$28/Assumptions!$B$29)*(1+$D37)^2</f>
        <v>3177069.3108152896</v>
      </c>
      <c r="F37" s="18">
        <f>$C37*(Assumptions!$B$28/Assumptions!$B$29)*(1+$D37)^10</f>
        <v>4438072.8527099518</v>
      </c>
      <c r="G37" s="18">
        <f>$C37*(Assumptions!$B$28/Assumptions!$B$29)*(1+$D37)^20</f>
        <v>6739910.0270298189</v>
      </c>
      <c r="H37" s="18">
        <f>IF($D37=0,$C37*(Assumptions!$B$28/Assumptions!$B$29)*20,$C37*(Assumptions!$B$28/Assumptions!$B$29)*(1+$D37)*((1+$D37)^20-1)/$D37)</f>
        <v>93288803.597099811</v>
      </c>
      <c r="I37" s="18">
        <f>H37/20</f>
        <v>4664440.1798549909</v>
      </c>
      <c r="J37" s="19">
        <f>IFERROR(H37/$H$139,0)</f>
        <v>1.5200730486245519E-3</v>
      </c>
      <c r="K37" s="18">
        <f>'Projection FY26-FY45'!E36*0.01</f>
        <v>77621.780709308703</v>
      </c>
    </row>
    <row r="38" spans="1:11">
      <c r="A38" s="22" t="str">
        <f>'Historical FY16-FY25'!A37</f>
        <v>Franklin County</v>
      </c>
      <c r="B38" s="22" t="str">
        <f>'Historical FY16-FY25'!B37</f>
        <v>County</v>
      </c>
      <c r="C38" s="23">
        <f>'Historical FY16-FY25'!D37</f>
        <v>8497942</v>
      </c>
      <c r="D38" s="26">
        <f>'Projection FY26-FY45'!D37</f>
        <v>3.7885974627759E-2</v>
      </c>
      <c r="E38" s="15">
        <f>$C38*(Assumptions!$B$28/Assumptions!$B$29)*(1+$D38)^2</f>
        <v>9154045.126180768</v>
      </c>
      <c r="F38" s="15">
        <f>$C38*(Assumptions!$B$28/Assumptions!$B$29)*(1+$D38)^10</f>
        <v>12325660.309493266</v>
      </c>
      <c r="G38" s="15">
        <f>$C38*(Assumptions!$B$28/Assumptions!$B$29)*(1+$D38)^20</f>
        <v>17877493.405464243</v>
      </c>
      <c r="H38" s="15">
        <f>IF($D38=0,$C38*(Assumptions!$B$28/Assumptions!$B$29)*20,$C38*(Assumptions!$B$28/Assumptions!$B$29)*(1+$D38)*((1+$D38)^20-1)/$D38)</f>
        <v>256952736.40654007</v>
      </c>
      <c r="I38" s="15">
        <f>H38/20</f>
        <v>12847636.820327003</v>
      </c>
      <c r="J38" s="10">
        <f>IFERROR(H38/$H$139,0)</f>
        <v>4.1868575254624977E-3</v>
      </c>
      <c r="K38" s="15">
        <f>'Projection FY26-FY45'!E37*0.01</f>
        <v>175996.69109765129</v>
      </c>
    </row>
    <row r="39" spans="1:11">
      <c r="A39" s="24" t="str">
        <f>'Historical FY16-FY25'!A38</f>
        <v>Frederick County</v>
      </c>
      <c r="B39" s="24" t="str">
        <f>'Historical FY16-FY25'!B38</f>
        <v>County</v>
      </c>
      <c r="C39" s="25">
        <f>'Historical FY16-FY25'!D38</f>
        <v>23314564</v>
      </c>
      <c r="D39" s="27">
        <f>'Projection FY26-FY45'!D38</f>
        <v>5.2644774465204103E-2</v>
      </c>
      <c r="E39" s="18">
        <f>$C39*(Assumptions!$B$28/Assumptions!$B$29)*(1+$D39)^2</f>
        <v>25833959.594880264</v>
      </c>
      <c r="F39" s="18">
        <f>$C39*(Assumptions!$B$28/Assumptions!$B$29)*(1+$D39)^10</f>
        <v>38944460.063069016</v>
      </c>
      <c r="G39" s="18">
        <f>$C39*(Assumptions!$B$28/Assumptions!$B$29)*(1+$D39)^20</f>
        <v>65052512.652776934</v>
      </c>
      <c r="H39" s="18">
        <f>IF($D39=0,$C39*(Assumptions!$B$28/Assumptions!$B$29)*20,$C39*(Assumptions!$B$28/Assumptions!$B$29)*(1+$D39)*((1+$D39)^20-1)/$D39)</f>
        <v>834560200.75234473</v>
      </c>
      <c r="I39" s="18">
        <f>H39/20</f>
        <v>41728010.037617236</v>
      </c>
      <c r="J39" s="19">
        <f>IFERROR(H39/$H$139,0)</f>
        <v>1.3598550090718206E-2</v>
      </c>
      <c r="K39" s="18">
        <f>'Projection FY26-FY45'!E38*0.01</f>
        <v>435829.05284573487</v>
      </c>
    </row>
    <row r="40" spans="1:11">
      <c r="A40" s="22" t="str">
        <f>'Historical FY16-FY25'!A39</f>
        <v>Giles County</v>
      </c>
      <c r="B40" s="22" t="str">
        <f>'Historical FY16-FY25'!B39</f>
        <v>County</v>
      </c>
      <c r="C40" s="23">
        <f>'Historical FY16-FY25'!D39</f>
        <v>2814012</v>
      </c>
      <c r="D40" s="26">
        <f>'Projection FY26-FY45'!D39</f>
        <v>3.6783896509080205E-2</v>
      </c>
      <c r="E40" s="15">
        <f>$C40*(Assumptions!$B$28/Assumptions!$B$29)*(1+$D40)^2</f>
        <v>3024840.1654925672</v>
      </c>
      <c r="F40" s="15">
        <f>$C40*(Assumptions!$B$28/Assumptions!$B$29)*(1+$D40)^10</f>
        <v>4038391.0950926025</v>
      </c>
      <c r="G40" s="15">
        <f>$C40*(Assumptions!$B$28/Assumptions!$B$29)*(1+$D40)^20</f>
        <v>5795498.6108528422</v>
      </c>
      <c r="H40" s="15">
        <f>IF($D40=0,$C40*(Assumptions!$B$28/Assumptions!$B$29)*20,$C40*(Assumptions!$B$28/Assumptions!$B$29)*(1+$D40)*((1+$D40)^20-1)/$D40)</f>
        <v>84035613.383878469</v>
      </c>
      <c r="I40" s="15">
        <f>H40/20</f>
        <v>4201780.6691939235</v>
      </c>
      <c r="J40" s="10">
        <f>IFERROR(H40/$H$139,0)</f>
        <v>1.369299059522268E-3</v>
      </c>
      <c r="K40" s="15">
        <f>'Projection FY26-FY45'!E39*0.01</f>
        <v>57902.929122577014</v>
      </c>
    </row>
    <row r="41" spans="1:11">
      <c r="A41" s="24" t="str">
        <f>'Historical FY16-FY25'!A40</f>
        <v>Gloucester County</v>
      </c>
      <c r="B41" s="24" t="str">
        <f>'Historical FY16-FY25'!B40</f>
        <v>County</v>
      </c>
      <c r="C41" s="25">
        <f>'Historical FY16-FY25'!D40</f>
        <v>7557831</v>
      </c>
      <c r="D41" s="27">
        <f>'Projection FY26-FY45'!D40</f>
        <v>4.7517878776552558E-2</v>
      </c>
      <c r="E41" s="18">
        <f>$C41*(Assumptions!$B$28/Assumptions!$B$29)*(1+$D41)^2</f>
        <v>8293160.3900062647</v>
      </c>
      <c r="F41" s="18">
        <f>$C41*(Assumptions!$B$28/Assumptions!$B$29)*(1+$D41)^10</f>
        <v>12022965.967757806</v>
      </c>
      <c r="G41" s="18">
        <f>$C41*(Assumptions!$B$28/Assumptions!$B$29)*(1+$D41)^20</f>
        <v>19126084.012974411</v>
      </c>
      <c r="H41" s="18">
        <f>IF($D41=0,$C41*(Assumptions!$B$28/Assumptions!$B$29)*20,$C41*(Assumptions!$B$28/Assumptions!$B$29)*(1+$D41)*((1+$D41)^20-1)/$D41)</f>
        <v>255018788.07100615</v>
      </c>
      <c r="I41" s="18">
        <f>H41/20</f>
        <v>12750939.403550308</v>
      </c>
      <c r="J41" s="19">
        <f>IFERROR(H41/$H$139,0)</f>
        <v>4.1553452471512252E-3</v>
      </c>
      <c r="K41" s="18">
        <f>'Projection FY26-FY45'!E40*0.01</f>
        <v>148180.90494010385</v>
      </c>
    </row>
    <row r="42" spans="1:11">
      <c r="A42" s="22" t="str">
        <f>'Historical FY16-FY25'!A41</f>
        <v>Goochland County</v>
      </c>
      <c r="B42" s="22" t="str">
        <f>'Historical FY16-FY25'!B41</f>
        <v>County</v>
      </c>
      <c r="C42" s="23">
        <f>'Historical FY16-FY25'!D41</f>
        <v>5952445</v>
      </c>
      <c r="D42" s="26">
        <f>'Projection FY26-FY45'!D41</f>
        <v>5.7373726648778711E-2</v>
      </c>
      <c r="E42" s="15">
        <f>$C42*(Assumptions!$B$28/Assumptions!$B$29)*(1+$D42)^2</f>
        <v>6655066.8327910379</v>
      </c>
      <c r="F42" s="15">
        <f>$C42*(Assumptions!$B$28/Assumptions!$B$29)*(1+$D42)^10</f>
        <v>10398735.719909944</v>
      </c>
      <c r="G42" s="15">
        <f>$C42*(Assumptions!$B$28/Assumptions!$B$29)*(1+$D42)^20</f>
        <v>18166266.89915337</v>
      </c>
      <c r="H42" s="15">
        <f>IF($D42=0,$C42*(Assumptions!$B$28/Assumptions!$B$29)*20,$C42*(Assumptions!$B$28/Assumptions!$B$29)*(1+$D42)*((1+$D42)^20-1)/$D42)</f>
        <v>225095616.62589279</v>
      </c>
      <c r="I42" s="15">
        <f>H42/20</f>
        <v>11254780.831294639</v>
      </c>
      <c r="J42" s="10">
        <f>IFERROR(H42/$H$139,0)</f>
        <v>3.66776898194867E-3</v>
      </c>
      <c r="K42" s="15">
        <f>'Projection FY26-FY45'!E41*0.01</f>
        <v>103139.70148314528</v>
      </c>
    </row>
    <row r="43" spans="1:11">
      <c r="A43" s="24" t="str">
        <f>'Historical FY16-FY25'!A42</f>
        <v>Grayson County</v>
      </c>
      <c r="B43" s="24" t="str">
        <f>'Historical FY16-FY25'!B42</f>
        <v>County</v>
      </c>
      <c r="C43" s="25">
        <f>'Historical FY16-FY25'!D42</f>
        <v>929167</v>
      </c>
      <c r="D43" s="27">
        <f>'Projection FY26-FY45'!D42</f>
        <v>3.4885096514247205E-2</v>
      </c>
      <c r="E43" s="18">
        <f>$C43*(Assumptions!$B$28/Assumptions!$B$29)*(1+$D43)^2</f>
        <v>995125.92927142326</v>
      </c>
      <c r="F43" s="18">
        <f>$C43*(Assumptions!$B$28/Assumptions!$B$29)*(1+$D43)^10</f>
        <v>1309227.4544150466</v>
      </c>
      <c r="G43" s="18">
        <f>$C43*(Assumptions!$B$28/Assumptions!$B$29)*(1+$D43)^20</f>
        <v>1844745.3766589891</v>
      </c>
      <c r="H43" s="18">
        <f>IF($D43=0,$C43*(Assumptions!$B$28/Assumptions!$B$29)*20,$C43*(Assumptions!$B$28/Assumptions!$B$29)*(1+$D43)*((1+$D43)^20-1)/$D43)</f>
        <v>27161123.556247741</v>
      </c>
      <c r="I43" s="18">
        <f>H43/20</f>
        <v>1358056.177812387</v>
      </c>
      <c r="J43" s="19">
        <f>IFERROR(H43/$H$139,0)</f>
        <v>4.4257070834057916E-4</v>
      </c>
      <c r="K43" s="18">
        <f>'Projection FY26-FY45'!E42*0.01</f>
        <v>31134.538826333061</v>
      </c>
    </row>
    <row r="44" spans="1:11">
      <c r="A44" s="22" t="str">
        <f>'Historical FY16-FY25'!A43</f>
        <v>Greene County</v>
      </c>
      <c r="B44" s="22" t="str">
        <f>'Historical FY16-FY25'!B43</f>
        <v>County</v>
      </c>
      <c r="C44" s="23">
        <f>'Historical FY16-FY25'!D43</f>
        <v>3619093</v>
      </c>
      <c r="D44" s="26">
        <f>'Projection FY26-FY45'!D43</f>
        <v>4.862579076083462E-2</v>
      </c>
      <c r="E44" s="15">
        <f>$C44*(Assumptions!$B$28/Assumptions!$B$29)*(1+$D44)^2</f>
        <v>3979612.7458001161</v>
      </c>
      <c r="F44" s="15">
        <f>$C44*(Assumptions!$B$28/Assumptions!$B$29)*(1+$D44)^10</f>
        <v>5818420.3345914902</v>
      </c>
      <c r="G44" s="15">
        <f>$C44*(Assumptions!$B$28/Assumptions!$B$29)*(1+$D44)^20</f>
        <v>9354281.6363071483</v>
      </c>
      <c r="H44" s="15">
        <f>IF($D44=0,$C44*(Assumptions!$B$28/Assumptions!$B$29)*20,$C44*(Assumptions!$B$28/Assumptions!$B$29)*(1+$D44)*((1+$D44)^20-1)/$D44)</f>
        <v>123680594.69696343</v>
      </c>
      <c r="I44" s="15">
        <f>H44/20</f>
        <v>6184029.7348481715</v>
      </c>
      <c r="J44" s="10">
        <f>IFERROR(H44/$H$139,0)</f>
        <v>2.0152851294853082E-3</v>
      </c>
      <c r="K44" s="15">
        <f>'Projection FY26-FY45'!E43*0.01</f>
        <v>79447.570584566391</v>
      </c>
    </row>
    <row r="45" spans="1:11">
      <c r="A45" s="24" t="str">
        <f>'Historical FY16-FY25'!A44</f>
        <v>Greensville County</v>
      </c>
      <c r="B45" s="24" t="str">
        <f>'Historical FY16-FY25'!B44</f>
        <v>County</v>
      </c>
      <c r="C45" s="25">
        <f>'Historical FY16-FY25'!D44</f>
        <v>1217916</v>
      </c>
      <c r="D45" s="27">
        <f>'Projection FY26-FY45'!D44</f>
        <v>1.7971482390411797E-2</v>
      </c>
      <c r="E45" s="18">
        <f>$C45*(Assumptions!$B$28/Assumptions!$B$29)*(1+$D45)^2</f>
        <v>1262084.8673145687</v>
      </c>
      <c r="F45" s="18">
        <f>$C45*(Assumptions!$B$28/Assumptions!$B$29)*(1+$D45)^10</f>
        <v>1455370.1182252127</v>
      </c>
      <c r="G45" s="18">
        <f>$C45*(Assumptions!$B$28/Assumptions!$B$29)*(1+$D45)^20</f>
        <v>1739120.0879394549</v>
      </c>
      <c r="H45" s="18">
        <f>IF($D45=0,$C45*(Assumptions!$B$28/Assumptions!$B$29)*20,$C45*(Assumptions!$B$28/Assumptions!$B$29)*(1+$D45)*((1+$D45)^20-1)/$D45)</f>
        <v>29522934.53047264</v>
      </c>
      <c r="I45" s="18">
        <f>H45/20</f>
        <v>1476146.726523632</v>
      </c>
      <c r="J45" s="19">
        <f>IFERROR(H45/$H$139,0)</f>
        <v>4.8105469644455542E-4</v>
      </c>
      <c r="K45" s="18">
        <f>'Projection FY26-FY45'!E44*0.01</f>
        <v>26564.719131874765</v>
      </c>
    </row>
    <row r="46" spans="1:11">
      <c r="A46" s="22" t="str">
        <f>'Historical FY16-FY25'!A45</f>
        <v>Halifax County</v>
      </c>
      <c r="B46" s="22" t="str">
        <f>'Historical FY16-FY25'!B45</f>
        <v>County</v>
      </c>
      <c r="C46" s="23">
        <f>'Historical FY16-FY25'!D45</f>
        <v>5870212</v>
      </c>
      <c r="D46" s="26">
        <f>'Projection FY26-FY45'!D45</f>
        <v>4.1493693002735643E-2</v>
      </c>
      <c r="E46" s="15">
        <f>$C46*(Assumptions!$B$28/Assumptions!$B$29)*(1+$D46)^2</f>
        <v>6367472.4490853408</v>
      </c>
      <c r="F46" s="15">
        <f>$C46*(Assumptions!$B$28/Assumptions!$B$29)*(1+$D46)^10</f>
        <v>8814957.6292527504</v>
      </c>
      <c r="G46" s="15">
        <f>$C46*(Assumptions!$B$28/Assumptions!$B$29)*(1+$D46)^20</f>
        <v>13236911.717246545</v>
      </c>
      <c r="H46" s="15">
        <f>IF($D46=0,$C46*(Assumptions!$B$28/Assumptions!$B$29)*20,$C46*(Assumptions!$B$28/Assumptions!$B$29)*(1+$D46)*((1+$D46)^20-1)/$D46)</f>
        <v>184904517.7360203</v>
      </c>
      <c r="I46" s="15">
        <f>H46/20</f>
        <v>9245225.8868010156</v>
      </c>
      <c r="J46" s="10">
        <f>IFERROR(H46/$H$139,0)</f>
        <v>3.0128843241825306E-3</v>
      </c>
      <c r="K46" s="15">
        <f>'Projection FY26-FY45'!E45*0.01</f>
        <v>119793.26071020124</v>
      </c>
    </row>
    <row r="47" spans="1:11">
      <c r="A47" s="24" t="str">
        <f>'Historical FY16-FY25'!A46</f>
        <v>Hanover County</v>
      </c>
      <c r="B47" s="24" t="str">
        <f>'Historical FY16-FY25'!B46</f>
        <v>County</v>
      </c>
      <c r="C47" s="25">
        <f>'Historical FY16-FY25'!D46</f>
        <v>36436509</v>
      </c>
      <c r="D47" s="27">
        <f>'Projection FY26-FY45'!D46</f>
        <v>4.9684814009093303E-2</v>
      </c>
      <c r="E47" s="18">
        <f>$C47*(Assumptions!$B$28/Assumptions!$B$29)*(1+$D47)^2</f>
        <v>40147137.810075164</v>
      </c>
      <c r="F47" s="18">
        <f>$C47*(Assumptions!$B$28/Assumptions!$B$29)*(1+$D47)^10</f>
        <v>59173315.360008143</v>
      </c>
      <c r="G47" s="18">
        <f>$C47*(Assumptions!$B$28/Assumptions!$B$29)*(1+$D47)^20</f>
        <v>96098153.933873728</v>
      </c>
      <c r="H47" s="18">
        <f>IF($D47=0,$C47*(Assumptions!$B$28/Assumptions!$B$29)*20,$C47*(Assumptions!$B$28/Assumptions!$B$29)*(1+$D47)*((1+$D47)^20-1)/$D47)</f>
        <v>1260464065.6283431</v>
      </c>
      <c r="I47" s="18">
        <f>H47/20</f>
        <v>63023203.281417154</v>
      </c>
      <c r="J47" s="19">
        <f>IFERROR(H47/$H$139,0)</f>
        <v>2.0538343092020721E-2</v>
      </c>
      <c r="K47" s="18">
        <f>'Projection FY26-FY45'!E46*0.01</f>
        <v>603531.88213086431</v>
      </c>
    </row>
    <row r="48" spans="1:11">
      <c r="A48" s="22" t="str">
        <f>'Historical FY16-FY25'!A47</f>
        <v>Henrico County</v>
      </c>
      <c r="B48" s="22" t="str">
        <f>'Historical FY16-FY25'!B47</f>
        <v>County</v>
      </c>
      <c r="C48" s="23">
        <f>'Historical FY16-FY25'!D47</f>
        <v>96562753</v>
      </c>
      <c r="D48" s="26">
        <f>'Projection FY26-FY45'!D47</f>
        <v>4.3598441438329361E-2</v>
      </c>
      <c r="E48" s="15">
        <f>$C48*(Assumptions!$B$28/Assumptions!$B$29)*(1+$D48)^2</f>
        <v>105166272.87125285</v>
      </c>
      <c r="F48" s="15">
        <f>$C48*(Assumptions!$B$28/Assumptions!$B$29)*(1+$D48)^10</f>
        <v>147959841.46222609</v>
      </c>
      <c r="G48" s="15">
        <f>$C48*(Assumptions!$B$28/Assumptions!$B$29)*(1+$D48)^20</f>
        <v>226713862.28525484</v>
      </c>
      <c r="H48" s="15">
        <f>IF($D48=0,$C48*(Assumptions!$B$28/Assumptions!$B$29)*20,$C48*(Assumptions!$B$28/Assumptions!$B$29)*(1+$D48)*((1+$D48)^20-1)/$D48)</f>
        <v>3115375007.0100279</v>
      </c>
      <c r="I48" s="15">
        <f>H48/20</f>
        <v>155768750.35050139</v>
      </c>
      <c r="J48" s="10">
        <f>IFERROR(H48/$H$139,0)</f>
        <v>5.0762764682531415E-2</v>
      </c>
      <c r="K48" s="15">
        <f>'Projection FY26-FY45'!E47*0.01</f>
        <v>1653749.9376558238</v>
      </c>
    </row>
    <row r="49" spans="1:11">
      <c r="A49" s="24" t="str">
        <f>'Historical FY16-FY25'!A48</f>
        <v>Henry County</v>
      </c>
      <c r="B49" s="24" t="str">
        <f>'Historical FY16-FY25'!B48</f>
        <v>County</v>
      </c>
      <c r="C49" s="25">
        <f>'Historical FY16-FY25'!D48</f>
        <v>6882906</v>
      </c>
      <c r="D49" s="27">
        <f>'Projection FY26-FY45'!D48</f>
        <v>3.8971927405724194E-2</v>
      </c>
      <c r="E49" s="18">
        <f>$C49*(Assumptions!$B$28/Assumptions!$B$29)*(1+$D49)^2</f>
        <v>7429840.0601549121</v>
      </c>
      <c r="F49" s="18">
        <f>$C49*(Assumptions!$B$28/Assumptions!$B$29)*(1+$D49)^10</f>
        <v>10088113.760571921</v>
      </c>
      <c r="G49" s="18">
        <f>$C49*(Assumptions!$B$28/Assumptions!$B$29)*(1+$D49)^20</f>
        <v>14785911.538853003</v>
      </c>
      <c r="H49" s="18">
        <f>IF($D49=0,$C49*(Assumptions!$B$28/Assumptions!$B$29)*20,$C49*(Assumptions!$B$28/Assumptions!$B$29)*(1+$D49)*((1+$D49)^20-1)/$D49)</f>
        <v>210690141.43227077</v>
      </c>
      <c r="I49" s="18">
        <f>H49/20</f>
        <v>10534507.071613539</v>
      </c>
      <c r="J49" s="19">
        <f>IFERROR(H49/$H$139,0)</f>
        <v>3.4330422650210332E-3</v>
      </c>
      <c r="K49" s="18">
        <f>'Projection FY26-FY45'!E48*0.01</f>
        <v>155136.12972556343</v>
      </c>
    </row>
    <row r="50" spans="1:11">
      <c r="A50" s="22" t="str">
        <f>'Historical FY16-FY25'!A49</f>
        <v>Highland County</v>
      </c>
      <c r="B50" s="22" t="str">
        <f>'Historical FY16-FY25'!B49</f>
        <v>County</v>
      </c>
      <c r="C50" s="23">
        <f>'Historical FY16-FY25'!D49</f>
        <v>235375</v>
      </c>
      <c r="D50" s="26">
        <f>'Projection FY26-FY45'!D49</f>
        <v>4.8491103861084017E-2</v>
      </c>
      <c r="E50" s="15">
        <f>$C50*(Assumptions!$B$28/Assumptions!$B$29)*(1+$D50)^2</f>
        <v>258755.64489389953</v>
      </c>
      <c r="F50" s="15">
        <f>$C50*(Assumptions!$B$28/Assumptions!$B$29)*(1+$D50)^10</f>
        <v>377926.92388478504</v>
      </c>
      <c r="G50" s="15">
        <f>$C50*(Assumptions!$B$28/Assumptions!$B$29)*(1+$D50)^20</f>
        <v>606813.63694961695</v>
      </c>
      <c r="H50" s="15">
        <f>IF($D50=0,$C50*(Assumptions!$B$28/Assumptions!$B$29)*20,$C50*(Assumptions!$B$28/Assumptions!$B$29)*(1+$D50)*((1+$D50)^20-1)/$D50)</f>
        <v>8031372.2613460459</v>
      </c>
      <c r="I50" s="15">
        <f>H50/20</f>
        <v>401568.61306730227</v>
      </c>
      <c r="J50" s="10">
        <f>IFERROR(H50/$H$139,0)</f>
        <v>1.3086535626149332E-4</v>
      </c>
      <c r="K50" s="15">
        <f>'Projection FY26-FY45'!E49*0.01</f>
        <v>5162.9274690775565</v>
      </c>
    </row>
    <row r="51" spans="1:11">
      <c r="A51" s="24" t="str">
        <f>'Historical FY16-FY25'!A50</f>
        <v>Isle of Wight County</v>
      </c>
      <c r="B51" s="24" t="str">
        <f>'Historical FY16-FY25'!B50</f>
        <v>County</v>
      </c>
      <c r="C51" s="25">
        <f>'Historical FY16-FY25'!D50</f>
        <v>5890894</v>
      </c>
      <c r="D51" s="27">
        <f>'Projection FY26-FY45'!D50</f>
        <v>5.8029867010322422E-2</v>
      </c>
      <c r="E51" s="18">
        <f>$C51*(Assumptions!$B$28/Assumptions!$B$29)*(1+$D51)^2</f>
        <v>6594426.9728881791</v>
      </c>
      <c r="F51" s="18">
        <f>$C51*(Assumptions!$B$28/Assumptions!$B$29)*(1+$D51)^10</f>
        <v>10355247.500310043</v>
      </c>
      <c r="G51" s="18">
        <f>$C51*(Assumptions!$B$28/Assumptions!$B$29)*(1+$D51)^20</f>
        <v>18202865.438196205</v>
      </c>
      <c r="H51" s="18">
        <f>IF($D51=0,$C51*(Assumptions!$B$28/Assumptions!$B$29)*20,$C51*(Assumptions!$B$28/Assumptions!$B$29)*(1+$D51)*((1+$D51)^20-1)/$D51)</f>
        <v>224478086.44938752</v>
      </c>
      <c r="I51" s="18">
        <f>H51/20</f>
        <v>11223904.322469376</v>
      </c>
      <c r="J51" s="19">
        <f>IFERROR(H51/$H$139,0)</f>
        <v>3.6577067778917707E-3</v>
      </c>
      <c r="K51" s="18">
        <f>'Projection FY26-FY45'!E50*0.01</f>
        <v>141367.02073429039</v>
      </c>
    </row>
    <row r="52" spans="1:11">
      <c r="A52" s="22" t="str">
        <f>'Historical FY16-FY25'!A51</f>
        <v>James City County</v>
      </c>
      <c r="B52" s="22" t="str">
        <f>'Historical FY16-FY25'!B51</f>
        <v>County</v>
      </c>
      <c r="C52" s="23">
        <f>'Historical FY16-FY25'!D51</f>
        <v>15682975</v>
      </c>
      <c r="D52" s="26">
        <f>'Projection FY26-FY45'!D51</f>
        <v>4.3704840219781715E-2</v>
      </c>
      <c r="E52" s="15">
        <f>$C52*(Assumptions!$B$28/Assumptions!$B$29)*(1+$D52)^2</f>
        <v>17083775.088437434</v>
      </c>
      <c r="F52" s="15">
        <f>$C52*(Assumptions!$B$28/Assumptions!$B$29)*(1+$D52)^10</f>
        <v>24055003.556117162</v>
      </c>
      <c r="G52" s="15">
        <f>$C52*(Assumptions!$B$28/Assumptions!$B$29)*(1+$D52)^20</f>
        <v>36896264.649073869</v>
      </c>
      <c r="H52" s="15">
        <f>IF($D52=0,$C52*(Assumptions!$B$28/Assumptions!$B$29)*20,$C52*(Assumptions!$B$28/Assumptions!$B$29)*(1+$D52)*((1+$D52)^20-1)/$D52)</f>
        <v>506589498.38012183</v>
      </c>
      <c r="I52" s="15">
        <f>H52/20</f>
        <v>25329474.919006091</v>
      </c>
      <c r="J52" s="10">
        <f>IFERROR(H52/$H$139,0)</f>
        <v>8.25450658076393E-3</v>
      </c>
      <c r="K52" s="15">
        <f>'Projection FY26-FY45'!E51*0.01</f>
        <v>302775.71609257685</v>
      </c>
    </row>
    <row r="53" spans="1:11">
      <c r="A53" s="24" t="str">
        <f>'Historical FY16-FY25'!A52</f>
        <v>King George County</v>
      </c>
      <c r="B53" s="24" t="str">
        <f>'Historical FY16-FY25'!B52</f>
        <v>County</v>
      </c>
      <c r="C53" s="25">
        <f>'Historical FY16-FY25'!D52</f>
        <v>4742017</v>
      </c>
      <c r="D53" s="27">
        <f>'Projection FY26-FY45'!D52</f>
        <v>5.546895574128019E-2</v>
      </c>
      <c r="E53" s="18">
        <f>$C53*(Assumptions!$B$28/Assumptions!$B$29)*(1+$D53)^2</f>
        <v>5282676.7240524581</v>
      </c>
      <c r="F53" s="18">
        <f>$C53*(Assumptions!$B$28/Assumptions!$B$29)*(1+$D53)^10</f>
        <v>8136127.5216461914</v>
      </c>
      <c r="G53" s="18">
        <f>$C53*(Assumptions!$B$28/Assumptions!$B$29)*(1+$D53)^20</f>
        <v>13959581.133616475</v>
      </c>
      <c r="H53" s="18">
        <f>IF($D53=0,$C53*(Assumptions!$B$28/Assumptions!$B$29)*20,$C53*(Assumptions!$B$28/Assumptions!$B$29)*(1+$D53)*((1+$D53)^20-1)/$D53)</f>
        <v>175392751.86581913</v>
      </c>
      <c r="I53" s="18">
        <f>H53/20</f>
        <v>8769637.5932909567</v>
      </c>
      <c r="J53" s="19">
        <f>IFERROR(H53/$H$139,0)</f>
        <v>2.8578970332471245E-3</v>
      </c>
      <c r="K53" s="18">
        <f>'Projection FY26-FY45'!E52*0.01</f>
        <v>112833.55771325821</v>
      </c>
    </row>
    <row r="54" spans="1:11">
      <c r="A54" s="22" t="str">
        <f>'Historical FY16-FY25'!A53</f>
        <v>King William County</v>
      </c>
      <c r="B54" s="22" t="str">
        <f>'Historical FY16-FY25'!B53</f>
        <v>County</v>
      </c>
      <c r="C54" s="23">
        <f>'Historical FY16-FY25'!D53</f>
        <v>2420693</v>
      </c>
      <c r="D54" s="26">
        <f>'Projection FY26-FY45'!D53</f>
        <v>4.978392878121829E-2</v>
      </c>
      <c r="E54" s="15">
        <f>$C54*(Assumptions!$B$28/Assumptions!$B$29)*(1+$D54)^2</f>
        <v>2667715.7571320478</v>
      </c>
      <c r="F54" s="15">
        <f>$C54*(Assumptions!$B$28/Assumptions!$B$29)*(1+$D54)^10</f>
        <v>3934947.2309963671</v>
      </c>
      <c r="G54" s="15">
        <f>$C54*(Assumptions!$B$28/Assumptions!$B$29)*(1+$D54)^20</f>
        <v>6396436.7686137706</v>
      </c>
      <c r="H54" s="15">
        <f>IF($D54=0,$C54*(Assumptions!$B$28/Assumptions!$B$29)*20,$C54*(Assumptions!$B$28/Assumptions!$B$29)*(1+$D54)*((1+$D54)^20-1)/$D54)</f>
        <v>83835728.023485944</v>
      </c>
      <c r="I54" s="15">
        <f>H54/20</f>
        <v>4191786.4011742971</v>
      </c>
      <c r="J54" s="10">
        <f>IFERROR(H54/$H$139,0)</f>
        <v>1.3660420732877834E-3</v>
      </c>
      <c r="K54" s="15">
        <f>'Projection FY26-FY45'!E53*0.01</f>
        <v>60792.777358934589</v>
      </c>
    </row>
    <row r="55" spans="1:11">
      <c r="A55" s="24" t="str">
        <f>'Historical FY16-FY25'!A54</f>
        <v>King and Queen County</v>
      </c>
      <c r="B55" s="24" t="str">
        <f>'Historical FY16-FY25'!B54</f>
        <v>County</v>
      </c>
      <c r="C55" s="25">
        <f>'Historical FY16-FY25'!D54</f>
        <v>454340</v>
      </c>
      <c r="D55" s="27">
        <f>'Projection FY26-FY45'!D54</f>
        <v>3.7699093398421923E-2</v>
      </c>
      <c r="E55" s="18">
        <f>$C55*(Assumptions!$B$28/Assumptions!$B$29)*(1+$D55)^2</f>
        <v>489242.13003058714</v>
      </c>
      <c r="F55" s="18">
        <f>$C55*(Assumptions!$B$28/Assumptions!$B$29)*(1+$D55)^10</f>
        <v>657802.23805185442</v>
      </c>
      <c r="G55" s="18">
        <f>$C55*(Assumptions!$B$28/Assumptions!$B$29)*(1+$D55)^20</f>
        <v>952378.80086725473</v>
      </c>
      <c r="H55" s="18">
        <f>IF($D55=0,$C55*(Assumptions!$B$28/Assumptions!$B$29)*20,$C55*(Assumptions!$B$28/Assumptions!$B$29)*(1+$D55)*((1+$D55)^20-1)/$D55)</f>
        <v>13708934.766023342</v>
      </c>
      <c r="I55" s="18">
        <f>H55/20</f>
        <v>685446.73830116703</v>
      </c>
      <c r="J55" s="19">
        <f>IFERROR(H55/$H$139,0)</f>
        <v>2.2337709842633295E-4</v>
      </c>
      <c r="K55" s="18">
        <f>'Projection FY26-FY45'!E54*0.01</f>
        <v>14657.333662397765</v>
      </c>
    </row>
    <row r="56" spans="1:11">
      <c r="A56" s="22" t="str">
        <f>'Historical FY16-FY25'!A55</f>
        <v>Lancaster County</v>
      </c>
      <c r="B56" s="22" t="str">
        <f>'Historical FY16-FY25'!B55</f>
        <v>County</v>
      </c>
      <c r="C56" s="23">
        <f>'Historical FY16-FY25'!D55</f>
        <v>2948880</v>
      </c>
      <c r="D56" s="26">
        <f>'Projection FY26-FY45'!D55</f>
        <v>4.9772447723236191E-2</v>
      </c>
      <c r="E56" s="15">
        <f>$C56*(Assumptions!$B$28/Assumptions!$B$29)*(1+$D56)^2</f>
        <v>3249731.2015415234</v>
      </c>
      <c r="F56" s="15">
        <f>$C56*(Assumptions!$B$28/Assumptions!$B$29)*(1+$D56)^10</f>
        <v>4793015.1428242549</v>
      </c>
      <c r="G56" s="15">
        <f>$C56*(Assumptions!$B$28/Assumptions!$B$29)*(1+$D56)^20</f>
        <v>7790413.3634948209</v>
      </c>
      <c r="H56" s="15">
        <f>IF($D56=0,$C56*(Assumptions!$B$28/Assumptions!$B$29)*20,$C56*(Assumptions!$B$28/Assumptions!$B$29)*(1+$D56)*((1+$D56)^20-1)/$D56)</f>
        <v>102114896.13674173</v>
      </c>
      <c r="I56" s="15">
        <f>H56/20</f>
        <v>5105744.8068370866</v>
      </c>
      <c r="J56" s="10">
        <f>IFERROR(H56/$H$139,0)</f>
        <v>1.6638877924829776E-3</v>
      </c>
      <c r="K56" s="15">
        <f>'Projection FY26-FY45'!E55*0.01</f>
        <v>44800.57187436278</v>
      </c>
    </row>
    <row r="57" spans="1:11">
      <c r="A57" s="24" t="str">
        <f>'Historical FY16-FY25'!A56</f>
        <v>Lee County</v>
      </c>
      <c r="B57" s="24" t="str">
        <f>'Historical FY16-FY25'!B56</f>
        <v>County</v>
      </c>
      <c r="C57" s="25">
        <f>'Historical FY16-FY25'!D56</f>
        <v>2167397</v>
      </c>
      <c r="D57" s="27">
        <f>'Projection FY26-FY45'!D56</f>
        <v>3.7317800882506136E-2</v>
      </c>
      <c r="E57" s="18">
        <f>$C57*(Assumptions!$B$28/Assumptions!$B$29)*(1+$D57)^2</f>
        <v>2332180.3360034176</v>
      </c>
      <c r="F57" s="18">
        <f>$C57*(Assumptions!$B$28/Assumptions!$B$29)*(1+$D57)^10</f>
        <v>3126488.0607630224</v>
      </c>
      <c r="G57" s="18">
        <f>$C57*(Assumptions!$B$28/Assumptions!$B$29)*(1+$D57)^20</f>
        <v>4509984.8316177074</v>
      </c>
      <c r="H57" s="18">
        <f>IF($D57=0,$C57*(Assumptions!$B$28/Assumptions!$B$29)*20,$C57*(Assumptions!$B$28/Assumptions!$B$29)*(1+$D57)*((1+$D57)^20-1)/$D57)</f>
        <v>65116593.164709762</v>
      </c>
      <c r="I57" s="18">
        <f>H57/20</f>
        <v>3255829.658235488</v>
      </c>
      <c r="J57" s="19">
        <f>IFERROR(H57/$H$139,0)</f>
        <v>1.0610274167027929E-3</v>
      </c>
      <c r="K57" s="18">
        <f>'Projection FY26-FY45'!E56*0.01</f>
        <v>59801.277862274394</v>
      </c>
    </row>
    <row r="58" spans="1:11">
      <c r="A58" s="22" t="str">
        <f>'Historical FY16-FY25'!A57</f>
        <v>Loudoun County</v>
      </c>
      <c r="B58" s="22" t="str">
        <f>'Historical FY16-FY25'!B57</f>
        <v>County</v>
      </c>
      <c r="C58" s="23">
        <f>'Historical FY16-FY25'!D57</f>
        <v>121012103</v>
      </c>
      <c r="D58" s="26">
        <f>'Projection FY26-FY45'!D57</f>
        <v>4.6645312987473986E-2</v>
      </c>
      <c r="E58" s="15">
        <f>$C58*(Assumptions!$B$28/Assumptions!$B$29)*(1+$D58)^2</f>
        <v>132564694.18501107</v>
      </c>
      <c r="F58" s="15">
        <f>$C58*(Assumptions!$B$28/Assumptions!$B$29)*(1+$D58)^10</f>
        <v>190908004.42391223</v>
      </c>
      <c r="G58" s="15">
        <f>$C58*(Assumptions!$B$28/Assumptions!$B$29)*(1+$D58)^20</f>
        <v>301175380.39249259</v>
      </c>
      <c r="H58" s="15">
        <f>IF($D58=0,$C58*(Assumptions!$B$28/Assumptions!$B$29)*20,$C58*(Assumptions!$B$28/Assumptions!$B$29)*(1+$D58)*((1+$D58)^20-1)/$D58)</f>
        <v>4042572292.4391527</v>
      </c>
      <c r="I58" s="15">
        <f>H58/20</f>
        <v>202128614.62195763</v>
      </c>
      <c r="J58" s="10">
        <f>IFERROR(H58/$H$139,0)</f>
        <v>6.5870768537159841E-2</v>
      </c>
      <c r="K58" s="15">
        <f>'Projection FY26-FY45'!E57*0.01</f>
        <v>2313583.0260982052</v>
      </c>
    </row>
    <row r="59" spans="1:11">
      <c r="A59" s="24" t="str">
        <f>'Historical FY16-FY25'!A58</f>
        <v>Louisa County</v>
      </c>
      <c r="B59" s="24" t="str">
        <f>'Historical FY16-FY25'!B58</f>
        <v>County</v>
      </c>
      <c r="C59" s="25">
        <f>'Historical FY16-FY25'!D58</f>
        <v>7401187</v>
      </c>
      <c r="D59" s="27">
        <f>'Projection FY26-FY45'!D58</f>
        <v>6.0100755005571771E-2</v>
      </c>
      <c r="E59" s="18">
        <f>$C59*(Assumptions!$B$28/Assumptions!$B$29)*(1+$D59)^2</f>
        <v>8317554.6864050115</v>
      </c>
      <c r="F59" s="18">
        <f>$C59*(Assumptions!$B$28/Assumptions!$B$29)*(1+$D59)^10</f>
        <v>13267002.637559136</v>
      </c>
      <c r="G59" s="18">
        <f>$C59*(Assumptions!$B$28/Assumptions!$B$29)*(1+$D59)^20</f>
        <v>23781774.326875012</v>
      </c>
      <c r="H59" s="18">
        <f>IF($D59=0,$C59*(Assumptions!$B$28/Assumptions!$B$29)*20,$C59*(Assumptions!$B$28/Assumptions!$B$29)*(1+$D59)*((1+$D59)^20-1)/$D59)</f>
        <v>288932692.95943171</v>
      </c>
      <c r="I59" s="18">
        <f>H59/20</f>
        <v>14446634.647971585</v>
      </c>
      <c r="J59" s="19">
        <f>IFERROR(H59/$H$139,0)</f>
        <v>4.7079476046340768E-3</v>
      </c>
      <c r="K59" s="18">
        <f>'Projection FY26-FY45'!E58*0.01</f>
        <v>148747.65580233501</v>
      </c>
    </row>
    <row r="60" spans="1:11">
      <c r="A60" s="22" t="str">
        <f>'Historical FY16-FY25'!A59</f>
        <v>Lunenburg County</v>
      </c>
      <c r="B60" s="22" t="str">
        <f>'Historical FY16-FY25'!B59</f>
        <v>County</v>
      </c>
      <c r="C60" s="23">
        <f>'Historical FY16-FY25'!D59</f>
        <v>928448</v>
      </c>
      <c r="D60" s="26">
        <f>'Projection FY26-FY45'!D59</f>
        <v>4.7554507276566849E-2</v>
      </c>
      <c r="E60" s="15">
        <f>$C60*(Assumptions!$B$28/Assumptions!$B$29)*(1+$D60)^2</f>
        <v>1018851.3955836188</v>
      </c>
      <c r="F60" s="15">
        <f>$C60*(Assumptions!$B$28/Assumptions!$B$29)*(1+$D60)^10</f>
        <v>1477487.7310415164</v>
      </c>
      <c r="G60" s="15">
        <f>$C60*(Assumptions!$B$28/Assumptions!$B$29)*(1+$D60)^20</f>
        <v>2351203.2934296899</v>
      </c>
      <c r="H60" s="15">
        <f>IF($D60=0,$C60*(Assumptions!$B$28/Assumptions!$B$29)*20,$C60*(Assumptions!$B$28/Assumptions!$B$29)*(1+$D60)*((1+$D60)^20-1)/$D60)</f>
        <v>31341166.289789077</v>
      </c>
      <c r="I60" s="15">
        <f>H60/20</f>
        <v>1567058.3144894538</v>
      </c>
      <c r="J60" s="10">
        <f>IFERROR(H60/$H$139,0)</f>
        <v>5.1068145750182811E-4</v>
      </c>
      <c r="K60" s="15">
        <f>'Projection FY26-FY45'!E59*0.01</f>
        <v>30724.490858704743</v>
      </c>
    </row>
    <row r="61" spans="1:11">
      <c r="A61" s="24" t="str">
        <f>'Historical FY16-FY25'!A60</f>
        <v>Madison County</v>
      </c>
      <c r="B61" s="24" t="str">
        <f>'Historical FY16-FY25'!B60</f>
        <v>County</v>
      </c>
      <c r="C61" s="25">
        <f>'Historical FY16-FY25'!D60</f>
        <v>1740671</v>
      </c>
      <c r="D61" s="27">
        <f>'Projection FY26-FY45'!D60</f>
        <v>4.7274025030684008E-2</v>
      </c>
      <c r="E61" s="18">
        <f>$C61*(Assumptions!$B$28/Assumptions!$B$29)*(1+$D61)^2</f>
        <v>1909138.1586117384</v>
      </c>
      <c r="F61" s="18">
        <f>$C61*(Assumptions!$B$28/Assumptions!$B$29)*(1+$D61)^10</f>
        <v>2762612.7694898415</v>
      </c>
      <c r="G61" s="18">
        <f>$C61*(Assumptions!$B$28/Assumptions!$B$29)*(1+$D61)^20</f>
        <v>4384532.9267554479</v>
      </c>
      <c r="H61" s="18">
        <f>IF($D61=0,$C61*(Assumptions!$B$28/Assumptions!$B$29)*20,$C61*(Assumptions!$B$28/Assumptions!$B$29)*(1+$D61)*((1+$D61)^20-1)/$D61)</f>
        <v>58570175.056204528</v>
      </c>
      <c r="I61" s="18">
        <f>H61/20</f>
        <v>2928508.7528102263</v>
      </c>
      <c r="J61" s="19">
        <f>IFERROR(H61/$H$139,0)</f>
        <v>9.5435830585489814E-4</v>
      </c>
      <c r="K61" s="18">
        <f>'Projection FY26-FY45'!E60*0.01</f>
        <v>43531.526234178178</v>
      </c>
    </row>
    <row r="62" spans="1:11">
      <c r="A62" s="22" t="str">
        <f>'Historical FY16-FY25'!A61</f>
        <v>Mathews County</v>
      </c>
      <c r="B62" s="22" t="str">
        <f>'Historical FY16-FY25'!B61</f>
        <v>County</v>
      </c>
      <c r="C62" s="23">
        <f>'Historical FY16-FY25'!D61</f>
        <v>948765</v>
      </c>
      <c r="D62" s="26">
        <f>'Projection FY26-FY45'!D61</f>
        <v>4.2719835377666437E-2</v>
      </c>
      <c r="E62" s="15">
        <f>$C62*(Assumptions!$B$28/Assumptions!$B$29)*(1+$D62)^2</f>
        <v>1031558.6504864905</v>
      </c>
      <c r="F62" s="15">
        <f>$C62*(Assumptions!$B$28/Assumptions!$B$29)*(1+$D62)^10</f>
        <v>1441567.5776975732</v>
      </c>
      <c r="G62" s="15">
        <f>$C62*(Assumptions!$B$28/Assumptions!$B$29)*(1+$D62)^20</f>
        <v>2190339.105119654</v>
      </c>
      <c r="H62" s="15">
        <f>IF($D62=0,$C62*(Assumptions!$B$28/Assumptions!$B$29)*20,$C62*(Assumptions!$B$28/Assumptions!$B$29)*(1+$D62)*((1+$D62)^20-1)/$D62)</f>
        <v>30304750.359041695</v>
      </c>
      <c r="I62" s="15">
        <f>H62/20</f>
        <v>1515237.5179520848</v>
      </c>
      <c r="J62" s="10">
        <f>IFERROR(H62/$H$139,0)</f>
        <v>4.9379381544031918E-4</v>
      </c>
      <c r="K62" s="15">
        <f>'Projection FY26-FY45'!E61*0.01</f>
        <v>21453.835486515243</v>
      </c>
    </row>
    <row r="63" spans="1:11">
      <c r="A63" s="24" t="str">
        <f>'Historical FY16-FY25'!A62</f>
        <v>Mecklenburg County</v>
      </c>
      <c r="B63" s="24" t="str">
        <f>'Historical FY16-FY25'!B62</f>
        <v>County</v>
      </c>
      <c r="C63" s="25">
        <f>'Historical FY16-FY25'!D62</f>
        <v>10433362</v>
      </c>
      <c r="D63" s="27">
        <f>'Projection FY26-FY45'!D62</f>
        <v>5.5060525179775888E-2</v>
      </c>
      <c r="E63" s="18">
        <f>$C63*(Assumptions!$B$28/Assumptions!$B$29)*(1+$D63)^2</f>
        <v>11613925.203414118</v>
      </c>
      <c r="F63" s="18">
        <f>$C63*(Assumptions!$B$28/Assumptions!$B$29)*(1+$D63)^10</f>
        <v>17831916.396743931</v>
      </c>
      <c r="G63" s="18">
        <f>$C63*(Assumptions!$B$28/Assumptions!$B$29)*(1+$D63)^20</f>
        <v>30476968.246713299</v>
      </c>
      <c r="H63" s="18">
        <f>IF($D63=0,$C63*(Assumptions!$B$28/Assumptions!$B$29)*20,$C63*(Assumptions!$B$28/Assumptions!$B$29)*(1+$D63)*((1+$D63)^20-1)/$D63)</f>
        <v>384072212.60798085</v>
      </c>
      <c r="I63" s="18">
        <f>H63/20</f>
        <v>19203610.630399041</v>
      </c>
      <c r="J63" s="19">
        <f>IFERROR(H63/$H$139,0)</f>
        <v>6.2581767221756976E-3</v>
      </c>
      <c r="K63" s="18">
        <f>'Projection FY26-FY45'!E62*0.01</f>
        <v>158133.95914928531</v>
      </c>
    </row>
    <row r="64" spans="1:11">
      <c r="A64" s="22" t="str">
        <f>'Historical FY16-FY25'!A63</f>
        <v>Middlesex County</v>
      </c>
      <c r="B64" s="22" t="str">
        <f>'Historical FY16-FY25'!B63</f>
        <v>County</v>
      </c>
      <c r="C64" s="23">
        <f>'Historical FY16-FY25'!D63</f>
        <v>1762311</v>
      </c>
      <c r="D64" s="26">
        <f>'Projection FY26-FY45'!D63</f>
        <v>4.1576758338750186E-2</v>
      </c>
      <c r="E64" s="15">
        <f>$C64*(Assumptions!$B$28/Assumptions!$B$29)*(1+$D64)^2</f>
        <v>1911899.7352138229</v>
      </c>
      <c r="F64" s="15">
        <f>$C64*(Assumptions!$B$28/Assumptions!$B$29)*(1+$D64)^10</f>
        <v>2648471.8251762185</v>
      </c>
      <c r="G64" s="15">
        <f>$C64*(Assumptions!$B$28/Assumptions!$B$29)*(1+$D64)^20</f>
        <v>3980229.9416801296</v>
      </c>
      <c r="H64" s="15">
        <f>IF($D64=0,$C64*(Assumptions!$B$28/Assumptions!$B$29)*20,$C64*(Assumptions!$B$28/Assumptions!$B$29)*(1+$D64)*((1+$D64)^20-1)/$D64)</f>
        <v>55563081.727326989</v>
      </c>
      <c r="I64" s="15">
        <f>H64/20</f>
        <v>2778154.0863663494</v>
      </c>
      <c r="J64" s="10">
        <f>IFERROR(H64/$H$139,0)</f>
        <v>9.0535991218198858E-4</v>
      </c>
      <c r="K64" s="15">
        <f>'Projection FY26-FY45'!E63*0.01</f>
        <v>32471.395003864953</v>
      </c>
    </row>
    <row r="65" spans="1:11">
      <c r="A65" s="24" t="str">
        <f>'Historical FY16-FY25'!A64</f>
        <v>Montgomery County</v>
      </c>
      <c r="B65" s="24" t="str">
        <f>'Historical FY16-FY25'!B64</f>
        <v>County</v>
      </c>
      <c r="C65" s="25">
        <f>'Historical FY16-FY25'!D64</f>
        <v>18599643</v>
      </c>
      <c r="D65" s="27">
        <f>'Projection FY26-FY45'!D64</f>
        <v>4.3672286555835438E-2</v>
      </c>
      <c r="E65" s="18">
        <f>$C65*(Assumptions!$B$28/Assumptions!$B$29)*(1+$D65)^2</f>
        <v>20259695.393171661</v>
      </c>
      <c r="F65" s="18">
        <f>$C65*(Assumptions!$B$28/Assumptions!$B$29)*(1+$D65)^10</f>
        <v>28519776.849150818</v>
      </c>
      <c r="G65" s="18">
        <f>$C65*(Assumptions!$B$28/Assumptions!$B$29)*(1+$D65)^20</f>
        <v>43730821.689715162</v>
      </c>
      <c r="H65" s="18">
        <f>IF($D65=0,$C65*(Assumptions!$B$28/Assumptions!$B$29)*20,$C65*(Assumptions!$B$28/Assumptions!$B$29)*(1+$D65)*((1+$D65)^20-1)/$D65)</f>
        <v>600580294.63157701</v>
      </c>
      <c r="I65" s="18">
        <f>H65/20</f>
        <v>30029014.731578849</v>
      </c>
      <c r="J65" s="19">
        <f>IFERROR(H65/$H$139,0)</f>
        <v>9.7860180879502049E-3</v>
      </c>
      <c r="K65" s="18">
        <f>'Projection FY26-FY45'!E64*0.01</f>
        <v>332926.44978433609</v>
      </c>
    </row>
    <row r="66" spans="1:11">
      <c r="A66" s="22" t="str">
        <f>'Historical FY16-FY25'!A65</f>
        <v>Nelson County</v>
      </c>
      <c r="B66" s="22" t="str">
        <f>'Historical FY16-FY25'!B65</f>
        <v>County</v>
      </c>
      <c r="C66" s="23">
        <f>'Historical FY16-FY25'!D65</f>
        <v>2260777</v>
      </c>
      <c r="D66" s="26">
        <f>'Projection FY26-FY45'!D65</f>
        <v>4.298287367393705E-2</v>
      </c>
      <c r="E66" s="15">
        <f>$C66*(Assumptions!$B$28/Assumptions!$B$29)*(1+$D66)^2</f>
        <v>2459303.2319108467</v>
      </c>
      <c r="F66" s="15">
        <f>$C66*(Assumptions!$B$28/Assumptions!$B$29)*(1+$D66)^10</f>
        <v>3443733.2009966765</v>
      </c>
      <c r="G66" s="15">
        <f>$C66*(Assumptions!$B$28/Assumptions!$B$29)*(1+$D66)^20</f>
        <v>5245673.6598288184</v>
      </c>
      <c r="H66" s="15">
        <f>IF($D66=0,$C66*(Assumptions!$B$28/Assumptions!$B$29)*20,$C66*(Assumptions!$B$28/Assumptions!$B$29)*(1+$D66)*((1+$D66)^20-1)/$D66)</f>
        <v>72428756.613723189</v>
      </c>
      <c r="I66" s="15">
        <f>H66/20</f>
        <v>3621437.8306861594</v>
      </c>
      <c r="J66" s="10">
        <f>IFERROR(H66/$H$139,0)</f>
        <v>1.1801737896586189E-3</v>
      </c>
      <c r="K66" s="15">
        <f>'Projection FY26-FY45'!E65*0.01</f>
        <v>45296.631475542978</v>
      </c>
    </row>
    <row r="67" spans="1:11">
      <c r="A67" s="24" t="str">
        <f>'Historical FY16-FY25'!A66</f>
        <v>New Kent County</v>
      </c>
      <c r="B67" s="24" t="str">
        <f>'Historical FY16-FY25'!B66</f>
        <v>County</v>
      </c>
      <c r="C67" s="25">
        <f>'Historical FY16-FY25'!D66</f>
        <v>3843305</v>
      </c>
      <c r="D67" s="27">
        <f>'Projection FY26-FY45'!D66</f>
        <v>5.9250252097059364E-2</v>
      </c>
      <c r="E67" s="18">
        <f>$C67*(Assumptions!$B$28/Assumptions!$B$29)*(1+$D67)^2</f>
        <v>4312230.8574940609</v>
      </c>
      <c r="F67" s="18">
        <f>$C67*(Assumptions!$B$28/Assumptions!$B$29)*(1+$D67)^10</f>
        <v>6834246.0627558008</v>
      </c>
      <c r="G67" s="18">
        <f>$C67*(Assumptions!$B$28/Assumptions!$B$29)*(1+$D67)^20</f>
        <v>12152800.583428372</v>
      </c>
      <c r="H67" s="18">
        <f>IF($D67=0,$C67*(Assumptions!$B$28/Assumptions!$B$29)*20,$C67*(Assumptions!$B$28/Assumptions!$B$29)*(1+$D67)*((1+$D67)^20-1)/$D67)</f>
        <v>148553550.06975144</v>
      </c>
      <c r="I67" s="18">
        <f>H67/20</f>
        <v>7427677.5034875721</v>
      </c>
      <c r="J67" s="19">
        <f>IFERROR(H67/$H$139,0)</f>
        <v>2.420571805313057E-3</v>
      </c>
      <c r="K67" s="18">
        <f>'Projection FY26-FY45'!E66*0.01</f>
        <v>84415.51885303481</v>
      </c>
    </row>
    <row r="68" spans="1:11">
      <c r="A68" s="22" t="str">
        <f>'Historical FY16-FY25'!A67</f>
        <v>Northampton County</v>
      </c>
      <c r="B68" s="22" t="str">
        <f>'Historical FY16-FY25'!B67</f>
        <v>County</v>
      </c>
      <c r="C68" s="23">
        <f>'Historical FY16-FY25'!D67</f>
        <v>2454754</v>
      </c>
      <c r="D68" s="26">
        <f>'Projection FY26-FY45'!D67</f>
        <v>4.5500926436600198E-2</v>
      </c>
      <c r="E68" s="15">
        <f>$C68*(Assumptions!$B$28/Assumptions!$B$29)*(1+$D68)^2</f>
        <v>2683223.3237683363</v>
      </c>
      <c r="F68" s="15">
        <f>$C68*(Assumptions!$B$28/Assumptions!$B$29)*(1+$D68)^10</f>
        <v>3830471.1550218482</v>
      </c>
      <c r="G68" s="15">
        <f>$C68*(Assumptions!$B$28/Assumptions!$B$29)*(1+$D68)^20</f>
        <v>5977181.1226112321</v>
      </c>
      <c r="H68" s="15">
        <f>IF($D68=0,$C68*(Assumptions!$B$28/Assumptions!$B$29)*20,$C68*(Assumptions!$B$28/Assumptions!$B$29)*(1+$D68)*((1+$D68)^20-1)/$D68)</f>
        <v>80936831.585766286</v>
      </c>
      <c r="I68" s="15">
        <f>H68/20</f>
        <v>4046841.5792883141</v>
      </c>
      <c r="J68" s="10">
        <f>IFERROR(H68/$H$139,0)</f>
        <v>1.3188066690825529E-3</v>
      </c>
      <c r="K68" s="15">
        <f>'Projection FY26-FY45'!E67*0.01</f>
        <v>44696.534211378297</v>
      </c>
    </row>
    <row r="69" spans="1:11">
      <c r="A69" s="24" t="str">
        <f>'Historical FY16-FY25'!A68</f>
        <v>Northumberland County</v>
      </c>
      <c r="B69" s="24" t="str">
        <f>'Historical FY16-FY25'!B68</f>
        <v>County</v>
      </c>
      <c r="C69" s="25">
        <f>'Historical FY16-FY25'!D68</f>
        <v>1411916</v>
      </c>
      <c r="D69" s="27">
        <f>'Projection FY26-FY45'!D68</f>
        <v>4.6897550360759266E-2</v>
      </c>
      <c r="E69" s="18">
        <f>$C69*(Assumptions!$B$28/Assumptions!$B$29)*(1+$D69)^2</f>
        <v>1547452.1435669179</v>
      </c>
      <c r="F69" s="18">
        <f>$C69*(Assumptions!$B$28/Assumptions!$B$29)*(1+$D69)^10</f>
        <v>2232804.4843613515</v>
      </c>
      <c r="G69" s="18">
        <f>$C69*(Assumptions!$B$28/Assumptions!$B$29)*(1+$D69)^20</f>
        <v>3530957.8369989162</v>
      </c>
      <c r="H69" s="18">
        <f>IF($D69=0,$C69*(Assumptions!$B$28/Assumptions!$B$29)*20,$C69*(Assumptions!$B$28/Assumptions!$B$29)*(1+$D69)*((1+$D69)^20-1)/$D69)</f>
        <v>47303530.593835741</v>
      </c>
      <c r="I69" s="18">
        <f>H69/20</f>
        <v>2365176.529691787</v>
      </c>
      <c r="J69" s="19">
        <f>IFERROR(H69/$H$139,0)</f>
        <v>7.7077654753750159E-4</v>
      </c>
      <c r="K69" s="18">
        <f>'Projection FY26-FY45'!E68*0.01</f>
        <v>29501.164679121553</v>
      </c>
    </row>
    <row r="70" spans="1:11">
      <c r="A70" s="22" t="str">
        <f>'Historical FY16-FY25'!A69</f>
        <v>Nottoway County</v>
      </c>
      <c r="B70" s="22" t="str">
        <f>'Historical FY16-FY25'!B69</f>
        <v>County</v>
      </c>
      <c r="C70" s="23">
        <f>'Historical FY16-FY25'!D69</f>
        <v>2329400</v>
      </c>
      <c r="D70" s="26">
        <f>'Projection FY26-FY45'!D69</f>
        <v>3.6703900327805128E-2</v>
      </c>
      <c r="E70" s="15">
        <f>$C70*(Assumptions!$B$28/Assumptions!$B$29)*(1+$D70)^2</f>
        <v>2503534.2433187058</v>
      </c>
      <c r="F70" s="15">
        <f>$C70*(Assumptions!$B$28/Assumptions!$B$29)*(1+$D70)^10</f>
        <v>3340345.5496494975</v>
      </c>
      <c r="G70" s="15">
        <f>$C70*(Assumptions!$B$28/Assumptions!$B$29)*(1+$D70)^20</f>
        <v>4790035.3700795071</v>
      </c>
      <c r="H70" s="15">
        <f>IF($D70=0,$C70*(Assumptions!$B$28/Assumptions!$B$29)*20,$C70*(Assumptions!$B$28/Assumptions!$B$29)*(1+$D70)*((1+$D70)^20-1)/$D70)</f>
        <v>69500795.90079692</v>
      </c>
      <c r="I70" s="15">
        <f>H70/20</f>
        <v>3475039.7950398461</v>
      </c>
      <c r="J70" s="10">
        <f>IFERROR(H70/$H$139,0)</f>
        <v>1.1324648042762711E-3</v>
      </c>
      <c r="K70" s="15">
        <f>'Projection FY26-FY45'!E69*0.01</f>
        <v>49026.504974427153</v>
      </c>
    </row>
    <row r="71" spans="1:11">
      <c r="A71" s="24" t="str">
        <f>'Historical FY16-FY25'!A70</f>
        <v>Orange County</v>
      </c>
      <c r="B71" s="24" t="str">
        <f>'Historical FY16-FY25'!B70</f>
        <v>County</v>
      </c>
      <c r="C71" s="25">
        <f>'Historical FY16-FY25'!D70</f>
        <v>5936740</v>
      </c>
      <c r="D71" s="27">
        <f>'Projection FY26-FY45'!D70</f>
        <v>5.0521039683328772E-2</v>
      </c>
      <c r="E71" s="18">
        <f>$C71*(Assumptions!$B$28/Assumptions!$B$29)*(1+$D71)^2</f>
        <v>6551753.3436923083</v>
      </c>
      <c r="F71" s="18">
        <f>$C71*(Assumptions!$B$28/Assumptions!$B$29)*(1+$D71)^10</f>
        <v>9718418.0654158127</v>
      </c>
      <c r="G71" s="18">
        <f>$C71*(Assumptions!$B$28/Assumptions!$B$29)*(1+$D71)^20</f>
        <v>15909008.93321931</v>
      </c>
      <c r="H71" s="18">
        <f>IF($D71=0,$C71*(Assumptions!$B$28/Assumptions!$B$29)*20,$C71*(Assumptions!$B$28/Assumptions!$B$29)*(1+$D71)*((1+$D71)^20-1)/$D71)</f>
        <v>207360703.44934464</v>
      </c>
      <c r="I71" s="18">
        <f>H71/20</f>
        <v>10368035.172467232</v>
      </c>
      <c r="J71" s="19">
        <f>IFERROR(H71/$H$139,0)</f>
        <v>3.3787915001943069E-3</v>
      </c>
      <c r="K71" s="18">
        <f>'Projection FY26-FY45'!E70*0.01</f>
        <v>131001.52841964984</v>
      </c>
    </row>
    <row r="72" spans="1:11">
      <c r="A72" s="22" t="str">
        <f>'Historical FY16-FY25'!A71</f>
        <v>Page County</v>
      </c>
      <c r="B72" s="22" t="str">
        <f>'Historical FY16-FY25'!B71</f>
        <v>County</v>
      </c>
      <c r="C72" s="23">
        <f>'Historical FY16-FY25'!D71</f>
        <v>3450014</v>
      </c>
      <c r="D72" s="26">
        <f>'Projection FY26-FY45'!D71</f>
        <v>4.4604937544181489E-2</v>
      </c>
      <c r="E72" s="15">
        <f>$C72*(Assumptions!$B$28/Assumptions!$B$29)*(1+$D72)^2</f>
        <v>3764653.4674114655</v>
      </c>
      <c r="F72" s="15">
        <f>$C72*(Assumptions!$B$28/Assumptions!$B$29)*(1+$D72)^10</f>
        <v>5337545.6243955093</v>
      </c>
      <c r="G72" s="15">
        <f>$C72*(Assumptions!$B$28/Assumptions!$B$29)*(1+$D72)^20</f>
        <v>8257761.6474900227</v>
      </c>
      <c r="H72" s="15">
        <f>IF($D72=0,$C72*(Assumptions!$B$28/Assumptions!$B$29)*20,$C72*(Assumptions!$B$28/Assumptions!$B$29)*(1+$D72)*((1+$D72)^20-1)/$D72)</f>
        <v>112592847.50841722</v>
      </c>
      <c r="I72" s="15">
        <f>H72/20</f>
        <v>5629642.3754208609</v>
      </c>
      <c r="J72" s="10">
        <f>IFERROR(H72/$H$139,0)</f>
        <v>1.8346183718317059E-3</v>
      </c>
      <c r="K72" s="15">
        <f>'Projection FY26-FY45'!E71*0.01</f>
        <v>76645.348902306083</v>
      </c>
    </row>
    <row r="73" spans="1:11">
      <c r="A73" s="24" t="str">
        <f>'Historical FY16-FY25'!A72</f>
        <v>Patrick County</v>
      </c>
      <c r="B73" s="24" t="str">
        <f>'Historical FY16-FY25'!B72</f>
        <v>County</v>
      </c>
      <c r="C73" s="25">
        <f>'Historical FY16-FY25'!D72</f>
        <v>2031405</v>
      </c>
      <c r="D73" s="27">
        <f>'Projection FY26-FY45'!D72</f>
        <v>4.1902969087928565E-2</v>
      </c>
      <c r="E73" s="18">
        <f>$C73*(Assumptions!$B$28/Assumptions!$B$29)*(1+$D73)^2</f>
        <v>2205215.6622230858</v>
      </c>
      <c r="F73" s="18">
        <f>$C73*(Assumptions!$B$28/Assumptions!$B$29)*(1+$D73)^10</f>
        <v>3062451.8798861313</v>
      </c>
      <c r="G73" s="18">
        <f>$C73*(Assumptions!$B$28/Assumptions!$B$29)*(1+$D73)^20</f>
        <v>4616810.2946571959</v>
      </c>
      <c r="H73" s="18">
        <f>IF($D73=0,$C73*(Assumptions!$B$28/Assumptions!$B$29)*20,$C73*(Assumptions!$B$28/Assumptions!$B$29)*(1+$D73)*((1+$D73)^20-1)/$D73)</f>
        <v>64285216.80997058</v>
      </c>
      <c r="I73" s="18">
        <f>H73/20</f>
        <v>3214260.8404985289</v>
      </c>
      <c r="J73" s="19">
        <f>IFERROR(H73/$H$139,0)</f>
        <v>1.0474807450618882E-3</v>
      </c>
      <c r="K73" s="18">
        <f>'Projection FY26-FY45'!E72*0.01</f>
        <v>48905.612571246311</v>
      </c>
    </row>
    <row r="74" spans="1:11">
      <c r="A74" s="22" t="str">
        <f>'Historical FY16-FY25'!A73</f>
        <v>Pittsylvania County</v>
      </c>
      <c r="B74" s="22" t="str">
        <f>'Historical FY16-FY25'!B73</f>
        <v>County</v>
      </c>
      <c r="C74" s="23">
        <f>'Historical FY16-FY25'!D73</f>
        <v>4545643</v>
      </c>
      <c r="D74" s="26">
        <f>'Projection FY26-FY45'!D73</f>
        <v>3.5513158587833438E-2</v>
      </c>
      <c r="E74" s="15">
        <f>$C74*(Assumptions!$B$28/Assumptions!$B$29)*(1+$D74)^2</f>
        <v>4874236.1756744012</v>
      </c>
      <c r="F74" s="15">
        <f>$C74*(Assumptions!$B$28/Assumptions!$B$29)*(1+$D74)^10</f>
        <v>6443940.8373199468</v>
      </c>
      <c r="G74" s="15">
        <f>$C74*(Assumptions!$B$28/Assumptions!$B$29)*(1+$D74)^20</f>
        <v>9134983.436860241</v>
      </c>
      <c r="H74" s="15">
        <f>IF($D74=0,$C74*(Assumptions!$B$28/Assumptions!$B$29)*20,$C74*(Assumptions!$B$28/Assumptions!$B$29)*(1+$D74)*((1+$D74)^20-1)/$D74)</f>
        <v>133818635.13644567</v>
      </c>
      <c r="I74" s="15">
        <f>H74/20</f>
        <v>6690931.7568222834</v>
      </c>
      <c r="J74" s="10">
        <f>IFERROR(H74/$H$139,0)</f>
        <v>2.180477107983378E-3</v>
      </c>
      <c r="K74" s="15">
        <f>'Projection FY26-FY45'!E73*0.01</f>
        <v>147856.95789935935</v>
      </c>
    </row>
    <row r="75" spans="1:11">
      <c r="A75" s="24" t="str">
        <f>'Historical FY16-FY25'!A74</f>
        <v>Powhatan County</v>
      </c>
      <c r="B75" s="24" t="str">
        <f>'Historical FY16-FY25'!B74</f>
        <v>County</v>
      </c>
      <c r="C75" s="25">
        <f>'Historical FY16-FY25'!D74</f>
        <v>5743356</v>
      </c>
      <c r="D75" s="27">
        <f>'Projection FY26-FY45'!D74</f>
        <v>5.7502236280698948E-2</v>
      </c>
      <c r="E75" s="18">
        <f>$C75*(Assumptions!$B$28/Assumptions!$B$29)*(1+$D75)^2</f>
        <v>6422858.0753480215</v>
      </c>
      <c r="F75" s="18">
        <f>$C75*(Assumptions!$B$28/Assumptions!$B$29)*(1+$D75)^10</f>
        <v>10045664.764182771</v>
      </c>
      <c r="G75" s="18">
        <f>$C75*(Assumptions!$B$28/Assumptions!$B$29)*(1+$D75)^20</f>
        <v>17570803.64761357</v>
      </c>
      <c r="H75" s="18">
        <f>IF($D75=0,$C75*(Assumptions!$B$28/Assumptions!$B$29)*20,$C75*(Assumptions!$B$28/Assumptions!$B$29)*(1+$D75)*((1+$D75)^20-1)/$D75)</f>
        <v>217514189.80973604</v>
      </c>
      <c r="I75" s="18">
        <f>H75/20</f>
        <v>10875709.490486803</v>
      </c>
      <c r="J75" s="19">
        <f>IFERROR(H75/$H$139,0)</f>
        <v>3.5442351587137715E-3</v>
      </c>
      <c r="K75" s="18">
        <f>'Projection FY26-FY45'!E74*0.01</f>
        <v>119755.5188698124</v>
      </c>
    </row>
    <row r="76" spans="1:11">
      <c r="A76" s="22" t="str">
        <f>'Historical FY16-FY25'!A75</f>
        <v>Prince Edward County</v>
      </c>
      <c r="B76" s="22" t="str">
        <f>'Historical FY16-FY25'!B75</f>
        <v>County</v>
      </c>
      <c r="C76" s="23">
        <f>'Historical FY16-FY25'!D75</f>
        <v>4664462</v>
      </c>
      <c r="D76" s="26">
        <f>'Projection FY26-FY45'!D75</f>
        <v>3.7991596236741421E-2</v>
      </c>
      <c r="E76" s="15">
        <f>$C76*(Assumptions!$B$28/Assumptions!$B$29)*(1+$D76)^2</f>
        <v>5025615.218262054</v>
      </c>
      <c r="F76" s="15">
        <f>$C76*(Assumptions!$B$28/Assumptions!$B$29)*(1+$D76)^10</f>
        <v>6772358.400478486</v>
      </c>
      <c r="G76" s="15">
        <f>$C76*(Assumptions!$B$28/Assumptions!$B$29)*(1+$D76)^20</f>
        <v>9832824.9441267848</v>
      </c>
      <c r="H76" s="15">
        <f>IF($D76=0,$C76*(Assumptions!$B$28/Assumptions!$B$29)*20,$C76*(Assumptions!$B$28/Assumptions!$B$29)*(1+$D76)*((1+$D76)^20-1)/$D76)</f>
        <v>141207999.49744684</v>
      </c>
      <c r="I76" s="15">
        <f>H76/20</f>
        <v>7060399.9748723414</v>
      </c>
      <c r="J76" s="10">
        <f>IFERROR(H76/$H$139,0)</f>
        <v>2.3008814135218603E-3</v>
      </c>
      <c r="K76" s="15">
        <f>'Projection FY26-FY45'!E75*0.01</f>
        <v>77645.798805901664</v>
      </c>
    </row>
    <row r="77" spans="1:11">
      <c r="A77" s="24" t="str">
        <f>'Historical FY16-FY25'!A76</f>
        <v>Prince George County</v>
      </c>
      <c r="B77" s="24" t="str">
        <f>'Historical FY16-FY25'!B76</f>
        <v>County</v>
      </c>
      <c r="C77" s="25">
        <f>'Historical FY16-FY25'!D76</f>
        <v>4500528</v>
      </c>
      <c r="D77" s="27">
        <f>'Projection FY26-FY45'!D76</f>
        <v>4.8780800967107352E-2</v>
      </c>
      <c r="E77" s="18">
        <f>$C77*(Assumptions!$B$28/Assumptions!$B$29)*(1+$D77)^2</f>
        <v>4950316.0270843888</v>
      </c>
      <c r="F77" s="18">
        <f>$C77*(Assumptions!$B$28/Assumptions!$B$29)*(1+$D77)^10</f>
        <v>7246207.2864699699</v>
      </c>
      <c r="G77" s="18">
        <f>$C77*(Assumptions!$B$28/Assumptions!$B$29)*(1+$D77)^20</f>
        <v>11666968.861984745</v>
      </c>
      <c r="H77" s="18">
        <f>IF($D77=0,$C77*(Assumptions!$B$28/Assumptions!$B$29)*20,$C77*(Assumptions!$B$28/Assumptions!$B$29)*(1+$D77)*((1+$D77)^20-1)/$D77)</f>
        <v>154077535.38905168</v>
      </c>
      <c r="I77" s="18">
        <f>H77/20</f>
        <v>7703876.769452584</v>
      </c>
      <c r="J77" s="19">
        <f>IFERROR(H77/$H$139,0)</f>
        <v>2.5105811191973976E-3</v>
      </c>
      <c r="K77" s="18">
        <f>'Projection FY26-FY45'!E76*0.01</f>
        <v>121123.42202068298</v>
      </c>
    </row>
    <row r="78" spans="1:11">
      <c r="A78" s="22" t="str">
        <f>'Historical FY16-FY25'!A77</f>
        <v>Prince William County</v>
      </c>
      <c r="B78" s="22" t="str">
        <f>'Historical FY16-FY25'!B77</f>
        <v>County</v>
      </c>
      <c r="C78" s="23">
        <f>'Historical FY16-FY25'!D77</f>
        <v>100052432</v>
      </c>
      <c r="D78" s="26">
        <f>'Projection FY26-FY45'!D77</f>
        <v>4.6014063301684893E-2</v>
      </c>
      <c r="E78" s="15">
        <f>$C78*(Assumptions!$B$28/Assumptions!$B$29)*(1+$D78)^2</f>
        <v>109471910.29518431</v>
      </c>
      <c r="F78" s="15">
        <f>$C78*(Assumptions!$B$28/Assumptions!$B$29)*(1+$D78)^10</f>
        <v>156892753.38873222</v>
      </c>
      <c r="G78" s="15">
        <f>$C78*(Assumptions!$B$28/Assumptions!$B$29)*(1+$D78)^20</f>
        <v>246024365.16383275</v>
      </c>
      <c r="H78" s="15">
        <f>IF($D78=0,$C78*(Assumptions!$B$28/Assumptions!$B$29)*20,$C78*(Assumptions!$B$28/Assumptions!$B$29)*(1+$D78)*((1+$D78)^20-1)/$D78)</f>
        <v>3318304969.8441148</v>
      </c>
      <c r="I78" s="15">
        <f>H78/20</f>
        <v>165915248.49220574</v>
      </c>
      <c r="J78" s="10">
        <f>IFERROR(H78/$H$139,0)</f>
        <v>5.4069360494336499E-2</v>
      </c>
      <c r="K78" s="15">
        <f>'Projection FY26-FY45'!E77*0.01</f>
        <v>2182274.5903162393</v>
      </c>
    </row>
    <row r="79" spans="1:11">
      <c r="A79" s="24" t="str">
        <f>'Historical FY16-FY25'!A78</f>
        <v>Pulaski County</v>
      </c>
      <c r="B79" s="24" t="str">
        <f>'Historical FY16-FY25'!B78</f>
        <v>County</v>
      </c>
      <c r="C79" s="25">
        <f>'Historical FY16-FY25'!D78</f>
        <v>6023844</v>
      </c>
      <c r="D79" s="27">
        <f>'Projection FY26-FY45'!D78</f>
        <v>3.9258430303334535E-2</v>
      </c>
      <c r="E79" s="18">
        <f>$C79*(Assumptions!$B$28/Assumptions!$B$29)*(1+$D79)^2</f>
        <v>6506101.4147170093</v>
      </c>
      <c r="F79" s="18">
        <f>$C79*(Assumptions!$B$28/Assumptions!$B$29)*(1+$D79)^10</f>
        <v>8853383.514994327</v>
      </c>
      <c r="G79" s="18">
        <f>$C79*(Assumptions!$B$28/Assumptions!$B$29)*(1+$D79)^20</f>
        <v>13012023.495889556</v>
      </c>
      <c r="H79" s="18">
        <f>IF($D79=0,$C79*(Assumptions!$B$28/Assumptions!$B$29)*20,$C79*(Assumptions!$B$28/Assumptions!$B$29)*(1+$D79)*((1+$D79)^20-1)/$D79)</f>
        <v>184992736.5271979</v>
      </c>
      <c r="I79" s="18">
        <f>H79/20</f>
        <v>9249636.8263598941</v>
      </c>
      <c r="J79" s="19">
        <f>IFERROR(H79/$H$139,0)</f>
        <v>3.0143217850747343E-3</v>
      </c>
      <c r="K79" s="18">
        <f>'Projection FY26-FY45'!E78*0.01</f>
        <v>115022.68080866185</v>
      </c>
    </row>
    <row r="80" spans="1:11">
      <c r="A80" s="22" t="str">
        <f>'Historical FY16-FY25'!A79</f>
        <v>Rappahannock County</v>
      </c>
      <c r="B80" s="22" t="str">
        <f>'Historical FY16-FY25'!B79</f>
        <v>County</v>
      </c>
      <c r="C80" s="23">
        <f>'Historical FY16-FY25'!D79</f>
        <v>1084801</v>
      </c>
      <c r="D80" s="26">
        <f>'Projection FY26-FY45'!D79</f>
        <v>4.8010678494672665E-2</v>
      </c>
      <c r="E80" s="15">
        <f>$C80*(Assumptions!$B$28/Assumptions!$B$29)*(1+$D80)^2</f>
        <v>1191465.5577791019</v>
      </c>
      <c r="F80" s="15">
        <f>$C80*(Assumptions!$B$28/Assumptions!$B$29)*(1+$D80)^10</f>
        <v>1733832.5629467922</v>
      </c>
      <c r="G80" s="15">
        <f>$C80*(Assumptions!$B$28/Assumptions!$B$29)*(1+$D80)^20</f>
        <v>2771176.7931027375</v>
      </c>
      <c r="H80" s="15">
        <f>IF($D80=0,$C80*(Assumptions!$B$28/Assumptions!$B$29)*20,$C80*(Assumptions!$B$28/Assumptions!$B$29)*(1+$D80)*((1+$D80)^20-1)/$D80)</f>
        <v>36811390.601836592</v>
      </c>
      <c r="I80" s="15">
        <f>H80/20</f>
        <v>1840569.5300918296</v>
      </c>
      <c r="J80" s="10">
        <f>IFERROR(H80/$H$139,0)</f>
        <v>5.998147749638682E-4</v>
      </c>
      <c r="K80" s="15">
        <f>'Projection FY26-FY45'!E79*0.01</f>
        <v>22425.479219923993</v>
      </c>
    </row>
    <row r="81" spans="1:11">
      <c r="A81" s="24" t="str">
        <f>'Historical FY16-FY25'!A80</f>
        <v>Richmond County</v>
      </c>
      <c r="B81" s="24" t="str">
        <f>'Historical FY16-FY25'!B80</f>
        <v>County</v>
      </c>
      <c r="C81" s="25">
        <f>'Historical FY16-FY25'!D80</f>
        <v>1721141</v>
      </c>
      <c r="D81" s="27">
        <f>'Projection FY26-FY45'!D80</f>
        <v>3.1433543688639487E-2</v>
      </c>
      <c r="E81" s="18">
        <f>$C81*(Assumptions!$B$28/Assumptions!$B$29)*(1+$D81)^2</f>
        <v>1831044.7254112076</v>
      </c>
      <c r="F81" s="18">
        <f>$C81*(Assumptions!$B$28/Assumptions!$B$29)*(1+$D81)^10</f>
        <v>2345465.029051804</v>
      </c>
      <c r="G81" s="18">
        <f>$C81*(Assumptions!$B$28/Assumptions!$B$29)*(1+$D81)^20</f>
        <v>3196255.3925012411</v>
      </c>
      <c r="H81" s="18">
        <f>IF($D81=0,$C81*(Assumptions!$B$28/Assumptions!$B$29)*20,$C81*(Assumptions!$B$28/Assumptions!$B$29)*(1+$D81)*((1+$D81)^20-1)/$D81)</f>
        <v>48403147.93249207</v>
      </c>
      <c r="I81" s="18">
        <f>H81/20</f>
        <v>2420157.3966246033</v>
      </c>
      <c r="J81" s="19">
        <f>IFERROR(H81/$H$139,0)</f>
        <v>7.8869401046810896E-4</v>
      </c>
      <c r="K81" s="18">
        <f>'Projection FY26-FY45'!E80*0.01</f>
        <v>31948.169241990076</v>
      </c>
    </row>
    <row r="82" spans="1:11">
      <c r="A82" s="22" t="str">
        <f>'Historical FY16-FY25'!A81</f>
        <v>Roanoke County</v>
      </c>
      <c r="B82" s="22" t="str">
        <f>'Historical FY16-FY25'!B81</f>
        <v>County</v>
      </c>
      <c r="C82" s="23">
        <f>'Historical FY16-FY25'!D81</f>
        <v>17573701</v>
      </c>
      <c r="D82" s="26">
        <f>'Projection FY26-FY45'!D81</f>
        <v>4.1574518678637151E-2</v>
      </c>
      <c r="E82" s="15">
        <f>$C82*(Assumptions!$B$28/Assumptions!$B$29)*(1+$D82)^2</f>
        <v>19065312.419314284</v>
      </c>
      <c r="F82" s="15">
        <f>$C82*(Assumptions!$B$28/Assumptions!$B$29)*(1+$D82)^10</f>
        <v>26409896.532081988</v>
      </c>
      <c r="G82" s="15">
        <f>$C82*(Assumptions!$B$28/Assumptions!$B$29)*(1+$D82)^20</f>
        <v>39689000.901703984</v>
      </c>
      <c r="H82" s="15">
        <f>IF($D82=0,$C82*(Assumptions!$B$28/Assumptions!$B$29)*20,$C82*(Assumptions!$B$28/Assumptions!$B$29)*(1+$D82)*((1+$D82)^20-1)/$D82)</f>
        <v>554058918.36307204</v>
      </c>
      <c r="I82" s="15">
        <f>H82/20</f>
        <v>27702945.918153603</v>
      </c>
      <c r="J82" s="10">
        <f>IFERROR(H82/$H$139,0)</f>
        <v>9.0279861749664406E-3</v>
      </c>
      <c r="K82" s="15">
        <f>'Projection FY26-FY45'!E81*0.01</f>
        <v>357394.63133458584</v>
      </c>
    </row>
    <row r="83" spans="1:11">
      <c r="A83" s="24" t="str">
        <f>'Historical FY16-FY25'!A82</f>
        <v>Rockbridge County</v>
      </c>
      <c r="B83" s="24" t="str">
        <f>'Historical FY16-FY25'!B82</f>
        <v>County</v>
      </c>
      <c r="C83" s="25">
        <f>'Historical FY16-FY25'!D82</f>
        <v>4572632</v>
      </c>
      <c r="D83" s="27">
        <f>'Projection FY26-FY45'!D82</f>
        <v>4.9553414796411954E-2</v>
      </c>
      <c r="E83" s="18">
        <f>$C83*(Assumptions!$B$28/Assumptions!$B$29)*(1+$D83)^2</f>
        <v>5037039.3453935813</v>
      </c>
      <c r="F83" s="18">
        <f>$C83*(Assumptions!$B$28/Assumptions!$B$29)*(1+$D83)^10</f>
        <v>7416717.0534197269</v>
      </c>
      <c r="G83" s="18">
        <f>$C83*(Assumptions!$B$28/Assumptions!$B$29)*(1+$D83)^20</f>
        <v>12029765.756458646</v>
      </c>
      <c r="H83" s="18">
        <f>IF($D83=0,$C83*(Assumptions!$B$28/Assumptions!$B$29)*20,$C83*(Assumptions!$B$28/Assumptions!$B$29)*(1+$D83)*((1+$D83)^20-1)/$D83)</f>
        <v>157943912.25791922</v>
      </c>
      <c r="I83" s="18">
        <f>H83/20</f>
        <v>7897195.6128959609</v>
      </c>
      <c r="J83" s="19">
        <f>IFERROR(H83/$H$139,0)</f>
        <v>2.5735809117509987E-3</v>
      </c>
      <c r="K83" s="18">
        <f>'Projection FY26-FY45'!E82*0.01</f>
        <v>84774.454951196749</v>
      </c>
    </row>
    <row r="84" spans="1:11">
      <c r="A84" s="22" t="str">
        <f>'Historical FY16-FY25'!A83</f>
        <v>Rockingham County</v>
      </c>
      <c r="B84" s="22" t="str">
        <f>'Historical FY16-FY25'!B83</f>
        <v>County</v>
      </c>
      <c r="C84" s="23">
        <f>'Historical FY16-FY25'!D83</f>
        <v>14659937</v>
      </c>
      <c r="D84" s="26">
        <f>'Projection FY26-FY45'!D83</f>
        <v>5.4752150869844418E-2</v>
      </c>
      <c r="E84" s="15">
        <f>$C84*(Assumptions!$B$28/Assumptions!$B$29)*(1+$D84)^2</f>
        <v>16309210.694916204</v>
      </c>
      <c r="F84" s="15">
        <f>$C84*(Assumptions!$B$28/Assumptions!$B$29)*(1+$D84)^10</f>
        <v>24982523.276556816</v>
      </c>
      <c r="G84" s="15">
        <f>$C84*(Assumptions!$B$28/Assumptions!$B$29)*(1+$D84)^20</f>
        <v>42573611.964615062</v>
      </c>
      <c r="H84" s="15">
        <f>IF($D84=0,$C84*(Assumptions!$B$28/Assumptions!$B$29)*20,$C84*(Assumptions!$B$28/Assumptions!$B$29)*(1+$D84)*((1+$D84)^20-1)/$D84)</f>
        <v>537732458.72291565</v>
      </c>
      <c r="I84" s="15">
        <f>H84/20</f>
        <v>26886622.936145782</v>
      </c>
      <c r="J84" s="10">
        <f>IFERROR(H84/$H$139,0)</f>
        <v>8.7619584168483183E-3</v>
      </c>
      <c r="K84" s="15">
        <f>'Projection FY26-FY45'!E83*0.01</f>
        <v>316980.19175179466</v>
      </c>
    </row>
    <row r="85" spans="1:11">
      <c r="A85" s="24" t="str">
        <f>'Historical FY16-FY25'!A84</f>
        <v>Russell County</v>
      </c>
      <c r="B85" s="24" t="str">
        <f>'Historical FY16-FY25'!B84</f>
        <v>County</v>
      </c>
      <c r="C85" s="25">
        <f>'Historical FY16-FY25'!D84</f>
        <v>2768208</v>
      </c>
      <c r="D85" s="27">
        <f>'Projection FY26-FY45'!D84</f>
        <v>3.3972368691165267E-2</v>
      </c>
      <c r="E85" s="18">
        <f>$C85*(Assumptions!$B$28/Assumptions!$B$29)*(1+$D85)^2</f>
        <v>2959488.0148748718</v>
      </c>
      <c r="F85" s="18">
        <f>$C85*(Assumptions!$B$28/Assumptions!$B$29)*(1+$D85)^10</f>
        <v>3866233.2373579871</v>
      </c>
      <c r="G85" s="18">
        <f>$C85*(Assumptions!$B$28/Assumptions!$B$29)*(1+$D85)^20</f>
        <v>5399796.3468249571</v>
      </c>
      <c r="H85" s="18">
        <f>IF($D85=0,$C85*(Assumptions!$B$28/Assumptions!$B$29)*20,$C85*(Assumptions!$B$28/Assumptions!$B$29)*(1+$D85)*((1+$D85)^20-1)/$D85)</f>
        <v>80094198.350504771</v>
      </c>
      <c r="I85" s="18">
        <f>H85/20</f>
        <v>4004709.9175252384</v>
      </c>
      <c r="J85" s="19">
        <f>IFERROR(H85/$H$139,0)</f>
        <v>1.3050765747796159E-3</v>
      </c>
      <c r="K85" s="18">
        <f>'Projection FY26-FY45'!E84*0.01</f>
        <v>71245.152623730348</v>
      </c>
    </row>
    <row r="86" spans="1:11">
      <c r="A86" s="22" t="str">
        <f>'Historical FY16-FY25'!A85</f>
        <v>Scott County</v>
      </c>
      <c r="B86" s="22" t="str">
        <f>'Historical FY16-FY25'!B85</f>
        <v>County</v>
      </c>
      <c r="C86" s="23">
        <f>'Historical FY16-FY25'!D85</f>
        <v>2330887</v>
      </c>
      <c r="D86" s="26">
        <f>'Projection FY26-FY45'!D85</f>
        <v>3.4860345409310156E-2</v>
      </c>
      <c r="E86" s="15">
        <f>$C86*(Assumptions!$B$28/Assumptions!$B$29)*(1+$D86)^2</f>
        <v>2496230.6475604791</v>
      </c>
      <c r="F86" s="15">
        <f>$C86*(Assumptions!$B$28/Assumptions!$B$29)*(1+$D86)^10</f>
        <v>3283512.5154004418</v>
      </c>
      <c r="G86" s="15">
        <f>$C86*(Assumptions!$B$28/Assumptions!$B$29)*(1+$D86)^20</f>
        <v>4625472.8087596428</v>
      </c>
      <c r="H86" s="15">
        <f>IF($D86=0,$C86*(Assumptions!$B$28/Assumptions!$B$29)*20,$C86*(Assumptions!$B$28/Assumptions!$B$29)*(1+$D86)*((1+$D86)^20-1)/$D86)</f>
        <v>68116819.691354156</v>
      </c>
      <c r="I86" s="15">
        <f>H86/20</f>
        <v>3405840.9845677079</v>
      </c>
      <c r="J86" s="10">
        <f>IFERROR(H86/$H$139,0)</f>
        <v>1.1099139208390982E-3</v>
      </c>
      <c r="K86" s="15">
        <f>'Projection FY26-FY45'!E85*0.01</f>
        <v>59495.456227426817</v>
      </c>
    </row>
    <row r="87" spans="1:11">
      <c r="A87" s="24" t="str">
        <f>'Historical FY16-FY25'!A86</f>
        <v>Shenandoah County</v>
      </c>
      <c r="B87" s="24" t="str">
        <f>'Historical FY16-FY25'!B86</f>
        <v>County</v>
      </c>
      <c r="C87" s="25">
        <f>'Historical FY16-FY25'!D86</f>
        <v>7242740</v>
      </c>
      <c r="D87" s="27">
        <f>'Projection FY26-FY45'!D86</f>
        <v>4.698290211616829E-2</v>
      </c>
      <c r="E87" s="18">
        <f>$C87*(Assumptions!$B$28/Assumptions!$B$29)*(1+$D87)^2</f>
        <v>7939297.4631834868</v>
      </c>
      <c r="F87" s="18">
        <f>$C87*(Assumptions!$B$28/Assumptions!$B$29)*(1+$D87)^10</f>
        <v>11463013.121568523</v>
      </c>
      <c r="G87" s="18">
        <f>$C87*(Assumptions!$B$28/Assumptions!$B$29)*(1+$D87)^20</f>
        <v>18142397.742463786</v>
      </c>
      <c r="H87" s="18">
        <f>IF($D87=0,$C87*(Assumptions!$B$28/Assumptions!$B$29)*20,$C87*(Assumptions!$B$28/Assumptions!$B$29)*(1+$D87)*((1+$D87)^20-1)/$D87)</f>
        <v>242891664.44127667</v>
      </c>
      <c r="I87" s="18">
        <f>H87/20</f>
        <v>12144583.222063834</v>
      </c>
      <c r="J87" s="19">
        <f>IFERROR(H87/$H$139,0)</f>
        <v>3.9577426080767237E-3</v>
      </c>
      <c r="K87" s="18">
        <f>'Projection FY26-FY45'!E86*0.01</f>
        <v>157518.99641653837</v>
      </c>
    </row>
    <row r="88" spans="1:11">
      <c r="A88" s="22" t="str">
        <f>'Historical FY16-FY25'!A87</f>
        <v>Smyth County</v>
      </c>
      <c r="B88" s="22" t="str">
        <f>'Historical FY16-FY25'!B87</f>
        <v>County</v>
      </c>
      <c r="C88" s="23">
        <f>'Historical FY16-FY25'!D87</f>
        <v>3673203</v>
      </c>
      <c r="D88" s="26">
        <f>'Projection FY26-FY45'!D87</f>
        <v>3.6747515903891581E-2</v>
      </c>
      <c r="E88" s="15">
        <f>$C88*(Assumptions!$B$28/Assumptions!$B$29)*(1+$D88)^2</f>
        <v>3948125.3909134869</v>
      </c>
      <c r="F88" s="15">
        <f>$C88*(Assumptions!$B$28/Assumptions!$B$29)*(1+$D88)^10</f>
        <v>5269567.4136222908</v>
      </c>
      <c r="G88" s="15">
        <f>$C88*(Assumptions!$B$28/Assumptions!$B$29)*(1+$D88)^20</f>
        <v>7559707.6248467406</v>
      </c>
      <c r="H88" s="15">
        <f>IF($D88=0,$C88*(Assumptions!$B$28/Assumptions!$B$29)*20,$C88*(Assumptions!$B$28/Assumptions!$B$29)*(1+$D88)*((1+$D88)^20-1)/$D88)</f>
        <v>109648881.46172997</v>
      </c>
      <c r="I88" s="15">
        <f>H88/20</f>
        <v>5482444.0730864983</v>
      </c>
      <c r="J88" s="10">
        <f>IFERROR(H88/$H$139,0)</f>
        <v>1.7866485912033457E-3</v>
      </c>
      <c r="K88" s="15">
        <f>'Projection FY26-FY45'!E87*0.01</f>
        <v>87719.663489535262</v>
      </c>
    </row>
    <row r="89" spans="1:11">
      <c r="A89" s="24" t="str">
        <f>'Historical FY16-FY25'!A88</f>
        <v>Southampton County</v>
      </c>
      <c r="B89" s="24" t="str">
        <f>'Historical FY16-FY25'!B88</f>
        <v>County</v>
      </c>
      <c r="C89" s="25">
        <f>'Historical FY16-FY25'!D88</f>
        <v>1227031</v>
      </c>
      <c r="D89" s="27">
        <f>'Projection FY26-FY45'!D88</f>
        <v>4.2060794332015705E-2</v>
      </c>
      <c r="E89" s="18">
        <f>$C89*(Assumptions!$B$28/Assumptions!$B$29)*(1+$D89)^2</f>
        <v>1332421.5503875818</v>
      </c>
      <c r="F89" s="18">
        <f>$C89*(Assumptions!$B$28/Assumptions!$B$29)*(1+$D89)^10</f>
        <v>1852618.9477945669</v>
      </c>
      <c r="G89" s="18">
        <f>$C89*(Assumptions!$B$28/Assumptions!$B$29)*(1+$D89)^20</f>
        <v>2797155.8711454305</v>
      </c>
      <c r="H89" s="18">
        <f>IF($D89=0,$C89*(Assumptions!$B$28/Assumptions!$B$29)*20,$C89*(Assumptions!$B$28/Assumptions!$B$29)*(1+$D89)*((1+$D89)^20-1)/$D89)</f>
        <v>38900015.950979069</v>
      </c>
      <c r="I89" s="18">
        <f>H89/20</f>
        <v>1945000.7975489534</v>
      </c>
      <c r="J89" s="19">
        <f>IFERROR(H89/$H$139,0)</f>
        <v>6.3384740245491498E-4</v>
      </c>
      <c r="K89" s="18">
        <f>'Projection FY26-FY45'!E88*0.01</f>
        <v>43949.049468856028</v>
      </c>
    </row>
    <row r="90" spans="1:11">
      <c r="A90" s="22" t="str">
        <f>'Historical FY16-FY25'!A89</f>
        <v>Spotsylvania County</v>
      </c>
      <c r="B90" s="22" t="str">
        <f>'Historical FY16-FY25'!B89</f>
        <v>County</v>
      </c>
      <c r="C90" s="23">
        <f>'Historical FY16-FY25'!D89</f>
        <v>30868150</v>
      </c>
      <c r="D90" s="26">
        <f>'Projection FY26-FY45'!D89</f>
        <v>5.2140296042441969E-2</v>
      </c>
      <c r="E90" s="15">
        <f>$C90*(Assumptions!$B$28/Assumptions!$B$29)*(1+$D90)^2</f>
        <v>34171017.43438755</v>
      </c>
      <c r="F90" s="15">
        <f>$C90*(Assumptions!$B$28/Assumptions!$B$29)*(1+$D90)^10</f>
        <v>51315331.890836924</v>
      </c>
      <c r="G90" s="15">
        <f>$C90*(Assumptions!$B$28/Assumptions!$B$29)*(1+$D90)^20</f>
        <v>85306806.11137192</v>
      </c>
      <c r="H90" s="15">
        <f>IF($D90=0,$C90*(Assumptions!$B$28/Assumptions!$B$29)*20,$C90*(Assumptions!$B$28/Assumptions!$B$29)*(1+$D90)*((1+$D90)^20-1)/$D90)</f>
        <v>1098518959.5116267</v>
      </c>
      <c r="I90" s="15">
        <f>H90/20</f>
        <v>54925947.975581333</v>
      </c>
      <c r="J90" s="10">
        <f>IFERROR(H90/$H$139,0)</f>
        <v>1.7899565643144568E-2</v>
      </c>
      <c r="K90" s="15">
        <f>'Projection FY26-FY45'!E89*0.01</f>
        <v>645733.95680922328</v>
      </c>
    </row>
    <row r="91" spans="1:11">
      <c r="A91" s="24" t="str">
        <f>'Historical FY16-FY25'!A90</f>
        <v>Stafford County</v>
      </c>
      <c r="B91" s="24" t="str">
        <f>'Historical FY16-FY25'!B90</f>
        <v>County</v>
      </c>
      <c r="C91" s="25">
        <f>'Historical FY16-FY25'!D90</f>
        <v>23975376</v>
      </c>
      <c r="D91" s="27">
        <f>'Projection FY26-FY45'!D90</f>
        <v>5.2641753685491732E-2</v>
      </c>
      <c r="E91" s="18">
        <f>$C91*(Assumptions!$B$28/Assumptions!$B$29)*(1+$D91)^2</f>
        <v>26566027.140462328</v>
      </c>
      <c r="F91" s="18">
        <f>$C91*(Assumptions!$B$28/Assumptions!$B$29)*(1+$D91)^10</f>
        <v>40047125.857044816</v>
      </c>
      <c r="G91" s="18">
        <f>$C91*(Assumptions!$B$28/Assumptions!$B$29)*(1+$D91)^20</f>
        <v>66892477.073560283</v>
      </c>
      <c r="H91" s="18">
        <f>IF($D91=0,$C91*(Assumptions!$B$28/Assumptions!$B$29)*20,$C91*(Assumptions!$B$28/Assumptions!$B$29)*(1+$D91)*((1+$D91)^20-1)/$D91)</f>
        <v>858184413.97442961</v>
      </c>
      <c r="I91" s="18">
        <f>H91/20</f>
        <v>42909220.698721483</v>
      </c>
      <c r="J91" s="19">
        <f>IFERROR(H91/$H$139,0)</f>
        <v>1.398348942351256E-2</v>
      </c>
      <c r="K91" s="18">
        <f>'Projection FY26-FY45'!E90*0.01</f>
        <v>645590.53495542076</v>
      </c>
    </row>
    <row r="92" spans="1:11">
      <c r="A92" s="22" t="str">
        <f>'Historical FY16-FY25'!A91</f>
        <v>Surry County</v>
      </c>
      <c r="B92" s="22" t="str">
        <f>'Historical FY16-FY25'!B91</f>
        <v>County</v>
      </c>
      <c r="C92" s="23">
        <f>'Historical FY16-FY25'!D91</f>
        <v>2016436</v>
      </c>
      <c r="D92" s="26">
        <f>'Projection FY26-FY45'!D91</f>
        <v>0.08</v>
      </c>
      <c r="E92" s="15">
        <f>$C92*(Assumptions!$B$28/Assumptions!$B$29)*(1+$D92)^2</f>
        <v>2351970.9504000004</v>
      </c>
      <c r="F92" s="15">
        <f>$C92*(Assumptions!$B$28/Assumptions!$B$29)*(1+$D92)^10</f>
        <v>4353334.0858007511</v>
      </c>
      <c r="G92" s="15">
        <f>$C92*(Assumptions!$B$28/Assumptions!$B$29)*(1+$D92)^20</f>
        <v>9398521.7793149203</v>
      </c>
      <c r="H92" s="15">
        <f>IF($D92=0,$C92*(Assumptions!$B$28/Assumptions!$B$29)*20,$C92*(Assumptions!$B$28/Assumptions!$B$29)*(1+$D92)*((1+$D92)^20-1)/$D92)</f>
        <v>99658158.020751432</v>
      </c>
      <c r="I92" s="15">
        <f>H92/20</f>
        <v>4982907.901037572</v>
      </c>
      <c r="J92" s="10">
        <f>IFERROR(H92/$H$139,0)</f>
        <v>1.6238570358042459E-3</v>
      </c>
      <c r="K92" s="15">
        <f>'Projection FY26-FY45'!E91*0.01</f>
        <v>31296.790800000002</v>
      </c>
    </row>
    <row r="93" spans="1:11">
      <c r="A93" s="24" t="str">
        <f>'Historical FY16-FY25'!A92</f>
        <v>Sussex County</v>
      </c>
      <c r="B93" s="24" t="str">
        <f>'Historical FY16-FY25'!B92</f>
        <v>County</v>
      </c>
      <c r="C93" s="25">
        <f>'Historical FY16-FY25'!D92</f>
        <v>1588357</v>
      </c>
      <c r="D93" s="27">
        <f>'Projection FY26-FY45'!D92</f>
        <v>3.7286897285136122E-2</v>
      </c>
      <c r="E93" s="18">
        <f>$C93*(Assumptions!$B$28/Assumptions!$B$29)*(1+$D93)^2</f>
        <v>1709015.1215460249</v>
      </c>
      <c r="F93" s="18">
        <f>$C93*(Assumptions!$B$28/Assumptions!$B$29)*(1+$D93)^10</f>
        <v>2290535.5774177415</v>
      </c>
      <c r="G93" s="18">
        <f>$C93*(Assumptions!$B$28/Assumptions!$B$29)*(1+$D93)^20</f>
        <v>3303132.2501279167</v>
      </c>
      <c r="H93" s="18">
        <f>IF($D93=0,$C93*(Assumptions!$B$28/Assumptions!$B$29)*20,$C93*(Assumptions!$B$28/Assumptions!$B$29)*(1+$D93)*((1+$D93)^20-1)/$D93)</f>
        <v>47703456.931386687</v>
      </c>
      <c r="I93" s="18">
        <f>H93/20</f>
        <v>2385172.8465693342</v>
      </c>
      <c r="J93" s="19">
        <f>IFERROR(H93/$H$139,0)</f>
        <v>7.7729305566822879E-4</v>
      </c>
      <c r="K93" s="18">
        <f>'Projection FY26-FY45'!E92*0.01</f>
        <v>29856.747408006719</v>
      </c>
    </row>
    <row r="94" spans="1:11">
      <c r="A94" s="22" t="str">
        <f>'Historical FY16-FY25'!A93</f>
        <v>Tazewell County</v>
      </c>
      <c r="B94" s="22" t="str">
        <f>'Historical FY16-FY25'!B93</f>
        <v>County</v>
      </c>
      <c r="C94" s="23">
        <f>'Historical FY16-FY25'!D93</f>
        <v>8059519</v>
      </c>
      <c r="D94" s="26">
        <f>'Projection FY26-FY45'!D93</f>
        <v>3.6661513592336159E-2</v>
      </c>
      <c r="E94" s="15">
        <f>$C94*(Assumptions!$B$28/Assumptions!$B$29)*(1+$D94)^2</f>
        <v>8661299.8608621415</v>
      </c>
      <c r="F94" s="15">
        <f>$C94*(Assumptions!$B$28/Assumptions!$B$29)*(1+$D94)^10</f>
        <v>11552577.177316329</v>
      </c>
      <c r="G94" s="15">
        <f>$C94*(Assumptions!$B$28/Assumptions!$B$29)*(1+$D94)^20</f>
        <v>16559553.918521702</v>
      </c>
      <c r="H94" s="15">
        <f>IF($D94=0,$C94*(Assumptions!$B$28/Assumptions!$B$29)*20,$C94*(Assumptions!$B$28/Assumptions!$B$29)*(1+$D94)*((1+$D94)^20-1)/$D94)</f>
        <v>240351753.12741145</v>
      </c>
      <c r="I94" s="15">
        <f>H94/20</f>
        <v>12017587.656370573</v>
      </c>
      <c r="J94" s="10">
        <f>IFERROR(H94/$H$139,0)</f>
        <v>3.9163566047705021E-3</v>
      </c>
      <c r="K94" s="15">
        <f>'Projection FY26-FY45'!E93*0.01</f>
        <v>149976.7652901019</v>
      </c>
    </row>
    <row r="95" spans="1:11">
      <c r="A95" s="24" t="str">
        <f>'Historical FY16-FY25'!A94</f>
        <v>Warren County</v>
      </c>
      <c r="B95" s="24" t="str">
        <f>'Historical FY16-FY25'!B94</f>
        <v>County</v>
      </c>
      <c r="C95" s="25">
        <f>'Historical FY16-FY25'!D94</f>
        <v>7681160</v>
      </c>
      <c r="D95" s="27">
        <f>'Projection FY26-FY45'!D94</f>
        <v>4.780982947903456E-2</v>
      </c>
      <c r="E95" s="18">
        <f>$C95*(Assumptions!$B$28/Assumptions!$B$29)*(1+$D95)^2</f>
        <v>8433187.3399310987</v>
      </c>
      <c r="F95" s="18">
        <f>$C95*(Assumptions!$B$28/Assumptions!$B$29)*(1+$D95)^10</f>
        <v>12253255.631795233</v>
      </c>
      <c r="G95" s="18">
        <f>$C95*(Assumptions!$B$28/Assumptions!$B$29)*(1+$D95)^20</f>
        <v>19546822.820787698</v>
      </c>
      <c r="H95" s="18">
        <f>IF($D95=0,$C95*(Assumptions!$B$28/Assumptions!$B$29)*20,$C95*(Assumptions!$B$28/Assumptions!$B$29)*(1+$D95)*((1+$D95)^20-1)/$D95)</f>
        <v>260050250.59454238</v>
      </c>
      <c r="I95" s="18">
        <f>H95/20</f>
        <v>13002512.52972712</v>
      </c>
      <c r="J95" s="19">
        <f>IFERROR(H95/$H$139,0)</f>
        <v>4.2373292611195389E-3</v>
      </c>
      <c r="K95" s="18">
        <f>'Projection FY26-FY45'!E94*0.01</f>
        <v>158106.84377853281</v>
      </c>
    </row>
    <row r="96" spans="1:11">
      <c r="A96" s="22" t="str">
        <f>'Historical FY16-FY25'!A95</f>
        <v>Washington County</v>
      </c>
      <c r="B96" s="22" t="str">
        <f>'Historical FY16-FY25'!B95</f>
        <v>County</v>
      </c>
      <c r="C96" s="23">
        <f>'Historical FY16-FY25'!D95</f>
        <v>11669786</v>
      </c>
      <c r="D96" s="26">
        <f>'Projection FY26-FY45'!D95</f>
        <v>4.595200621690998E-2</v>
      </c>
      <c r="E96" s="15">
        <f>$C96*(Assumptions!$B$28/Assumptions!$B$29)*(1+$D96)^2</f>
        <v>12766927.924599864</v>
      </c>
      <c r="F96" s="15">
        <f>$C96*(Assumptions!$B$28/Assumptions!$B$29)*(1+$D96)^10</f>
        <v>18288600.144875944</v>
      </c>
      <c r="G96" s="15">
        <f>$C96*(Assumptions!$B$28/Assumptions!$B$29)*(1+$D96)^20</f>
        <v>28661442.05721993</v>
      </c>
      <c r="H96" s="15">
        <f>IF($D96=0,$C96*(Assumptions!$B$28/Assumptions!$B$29)*20,$C96*(Assumptions!$B$28/Assumptions!$B$29)*(1+$D96)*((1+$D96)^20-1)/$D96)</f>
        <v>386761279.97773397</v>
      </c>
      <c r="I96" s="15">
        <f>H96/20</f>
        <v>19338063.998886697</v>
      </c>
      <c r="J96" s="10">
        <f>IFERROR(H96/$H$139,0)</f>
        <v>6.3019931146803222E-3</v>
      </c>
      <c r="K96" s="15">
        <f>'Projection FY26-FY45'!E95*0.01</f>
        <v>209166.08285923742</v>
      </c>
    </row>
    <row r="97" spans="1:11">
      <c r="A97" s="24" t="str">
        <f>'Historical FY16-FY25'!A96</f>
        <v>Westmoreland County</v>
      </c>
      <c r="B97" s="24" t="str">
        <f>'Historical FY16-FY25'!B96</f>
        <v>County</v>
      </c>
      <c r="C97" s="25">
        <f>'Historical FY16-FY25'!D96</f>
        <v>2086627</v>
      </c>
      <c r="D97" s="27">
        <f>'Projection FY26-FY45'!D96</f>
        <v>5.1142790622933476E-2</v>
      </c>
      <c r="E97" s="18">
        <f>$C97*(Assumptions!$B$28/Assumptions!$B$29)*(1+$D97)^2</f>
        <v>2305516.6058883495</v>
      </c>
      <c r="F97" s="18">
        <f>$C97*(Assumptions!$B$28/Assumptions!$B$29)*(1+$D97)^10</f>
        <v>3436069.8408283638</v>
      </c>
      <c r="G97" s="18">
        <f>$C97*(Assumptions!$B$28/Assumptions!$B$29)*(1+$D97)^20</f>
        <v>5658211.0511606801</v>
      </c>
      <c r="H97" s="18">
        <f>IF($D97=0,$C97*(Assumptions!$B$28/Assumptions!$B$29)*20,$C97*(Assumptions!$B$28/Assumptions!$B$29)*(1+$D97)*((1+$D97)^20-1)/$D97)</f>
        <v>73407117.2251973</v>
      </c>
      <c r="I97" s="18">
        <f>H97/20</f>
        <v>3670355.8612598651</v>
      </c>
      <c r="J97" s="19">
        <f>IFERROR(H97/$H$139,0)</f>
        <v>1.1961154626139346E-3</v>
      </c>
      <c r="K97" s="18">
        <f>'Projection FY26-FY45'!E96*0.01</f>
        <v>50262.557887784242</v>
      </c>
    </row>
    <row r="98" spans="1:11">
      <c r="A98" s="22" t="str">
        <f>'Historical FY16-FY25'!A97</f>
        <v>Wise County</v>
      </c>
      <c r="B98" s="22" t="str">
        <f>'Historical FY16-FY25'!B97</f>
        <v>County</v>
      </c>
      <c r="C98" s="23">
        <f>'Historical FY16-FY25'!D97</f>
        <v>4325422</v>
      </c>
      <c r="D98" s="26">
        <f>'Projection FY26-FY45'!D97</f>
        <v>3.1074350160352093E-2</v>
      </c>
      <c r="E98" s="15">
        <f>$C98*(Assumptions!$B$28/Assumptions!$B$29)*(1+$D98)^2</f>
        <v>4598418.0490320772</v>
      </c>
      <c r="F98" s="15">
        <f>$C98*(Assumptions!$B$28/Assumptions!$B$29)*(1+$D98)^10</f>
        <v>5873923.9059006926</v>
      </c>
      <c r="G98" s="15">
        <f>$C98*(Assumptions!$B$28/Assumptions!$B$29)*(1+$D98)^20</f>
        <v>7976789.791218441</v>
      </c>
      <c r="H98" s="15">
        <f>IF($D98=0,$C98*(Assumptions!$B$28/Assumptions!$B$29)*20,$C98*(Assumptions!$B$28/Assumptions!$B$29)*(1+$D98)*((1+$D98)^20-1)/$D98)</f>
        <v>121155604.31994361</v>
      </c>
      <c r="I98" s="15">
        <f>H98/20</f>
        <v>6057780.21599718</v>
      </c>
      <c r="J98" s="10">
        <f>IFERROR(H98/$H$139,0)</f>
        <v>1.9741422519678662E-3</v>
      </c>
      <c r="K98" s="15">
        <f>'Projection FY26-FY45'!E97*0.01</f>
        <v>104684.25701973545</v>
      </c>
    </row>
    <row r="99" spans="1:11">
      <c r="A99" s="24" t="str">
        <f>'Historical FY16-FY25'!A98</f>
        <v>Wythe County</v>
      </c>
      <c r="B99" s="24" t="str">
        <f>'Historical FY16-FY25'!B98</f>
        <v>County</v>
      </c>
      <c r="C99" s="25">
        <f>'Historical FY16-FY25'!D98</f>
        <v>6823360</v>
      </c>
      <c r="D99" s="27">
        <f>'Projection FY26-FY45'!D98</f>
        <v>4.3677901162493482E-2</v>
      </c>
      <c r="E99" s="18">
        <f>$C99*(Assumptions!$B$28/Assumptions!$B$29)*(1+$D99)^2</f>
        <v>7432437.4141433621</v>
      </c>
      <c r="F99" s="18">
        <f>$C99*(Assumptions!$B$28/Assumptions!$B$29)*(1+$D99)^10</f>
        <v>10463167.152171152</v>
      </c>
      <c r="G99" s="18">
        <f>$C99*(Assumptions!$B$28/Assumptions!$B$29)*(1+$D99)^20</f>
        <v>16044568.490343958</v>
      </c>
      <c r="H99" s="18">
        <f>IF($D99=0,$C99*(Assumptions!$B$28/Assumptions!$B$29)*20,$C99*(Assumptions!$B$28/Assumptions!$B$29)*(1+$D99)*((1+$D99)^20-1)/$D99)</f>
        <v>220339605.7786797</v>
      </c>
      <c r="I99" s="18">
        <f>H99/20</f>
        <v>11016980.288933985</v>
      </c>
      <c r="J99" s="19">
        <f>IFERROR(H99/$H$139,0)</f>
        <v>3.5902732522463399E-3</v>
      </c>
      <c r="K99" s="18">
        <f>'Projection FY26-FY45'!E98*0.01</f>
        <v>119912.27659226846</v>
      </c>
    </row>
    <row r="100" spans="1:11">
      <c r="A100" s="22" t="str">
        <f>'Historical FY16-FY25'!A99</f>
        <v>York County</v>
      </c>
      <c r="B100" s="22" t="str">
        <f>'Historical FY16-FY25'!B99</f>
        <v>County</v>
      </c>
      <c r="C100" s="23">
        <f>'Historical FY16-FY25'!D99</f>
        <v>14869409</v>
      </c>
      <c r="D100" s="26">
        <f>'Projection FY26-FY45'!D99</f>
        <v>4.1816000378425366E-2</v>
      </c>
      <c r="E100" s="15">
        <f>$C100*(Assumptions!$B$28/Assumptions!$B$29)*(1+$D100)^2</f>
        <v>16138967.744521724</v>
      </c>
      <c r="F100" s="15">
        <f>$C100*(Assumptions!$B$28/Assumptions!$B$29)*(1+$D100)^10</f>
        <v>22397726.570336528</v>
      </c>
      <c r="G100" s="15">
        <f>$C100*(Assumptions!$B$28/Assumptions!$B$29)*(1+$D100)^20</f>
        <v>33737598.819129847</v>
      </c>
      <c r="H100" s="15">
        <f>IF($D100=0,$C100*(Assumptions!$B$28/Assumptions!$B$29)*20,$C100*(Assumptions!$B$28/Assumptions!$B$29)*(1+$D100)*((1+$D100)^20-1)/$D100)</f>
        <v>470087571.1176039</v>
      </c>
      <c r="I100" s="15">
        <f>H100/20</f>
        <v>23504378.555880196</v>
      </c>
      <c r="J100" s="10">
        <f>IFERROR(H100/$H$139,0)</f>
        <v>7.6597342853206201E-3</v>
      </c>
      <c r="K100" s="15">
        <f>'Projection FY26-FY45'!E99*0.01</f>
        <v>308540.19484415301</v>
      </c>
    </row>
    <row r="101" spans="1:11">
      <c r="A101" s="24" t="str">
        <f>'Historical FY16-FY25'!A100</f>
        <v>Alexandria City</v>
      </c>
      <c r="B101" s="24" t="str">
        <f>'Historical FY16-FY25'!B100</f>
        <v>City</v>
      </c>
      <c r="C101" s="25">
        <f>'Historical FY16-FY25'!D100</f>
        <v>40767747</v>
      </c>
      <c r="D101" s="27">
        <f>'Projection FY26-FY45'!D100</f>
        <v>4.6054258659013469E-2</v>
      </c>
      <c r="E101" s="18">
        <f>$C101*(Assumptions!$B$28/Assumptions!$B$29)*(1+$D101)^2</f>
        <v>44609271.907540835</v>
      </c>
      <c r="F101" s="18">
        <f>$C101*(Assumptions!$B$28/Assumptions!$B$29)*(1+$D101)^10</f>
        <v>63952691.984676316</v>
      </c>
      <c r="G101" s="18">
        <f>$C101*(Assumptions!$B$28/Assumptions!$B$29)*(1+$D101)^20</f>
        <v>100323101.30081218</v>
      </c>
      <c r="H101" s="18">
        <f>IF($D101=0,$C101*(Assumptions!$B$28/Assumptions!$B$29)*20,$C101*(Assumptions!$B$28/Assumptions!$B$29)*(1+$D101)*((1+$D101)^20-1)/$D101)</f>
        <v>1352711645.0525768</v>
      </c>
      <c r="I101" s="18">
        <f>H101/20</f>
        <v>67635582.252628833</v>
      </c>
      <c r="J101" s="19">
        <f>IFERROR(H101/$H$139,0)</f>
        <v>2.2041450151783569E-2</v>
      </c>
      <c r="K101" s="18">
        <f>'Projection FY26-FY45'!E100*0.01</f>
        <v>643832.01295856631</v>
      </c>
    </row>
    <row r="102" spans="1:11">
      <c r="A102" s="22" t="str">
        <f>'Historical FY16-FY25'!A101</f>
        <v>Bristol City</v>
      </c>
      <c r="B102" s="22" t="str">
        <f>'Historical FY16-FY25'!B101</f>
        <v>City</v>
      </c>
      <c r="C102" s="23">
        <f>'Historical FY16-FY25'!D101</f>
        <v>6633958</v>
      </c>
      <c r="D102" s="26">
        <f>'Projection FY26-FY45'!D101</f>
        <v>4.5574816738215951E-2</v>
      </c>
      <c r="E102" s="15">
        <f>$C102*(Assumptions!$B$28/Assumptions!$B$29)*(1+$D102)^2</f>
        <v>7252419.9950114274</v>
      </c>
      <c r="F102" s="15">
        <f>$C102*(Assumptions!$B$28/Assumptions!$B$29)*(1+$D102)^10</f>
        <v>10359143.814177731</v>
      </c>
      <c r="G102" s="15">
        <f>$C102*(Assumptions!$B$28/Assumptions!$B$29)*(1+$D102)^20</f>
        <v>16176144.100221431</v>
      </c>
      <c r="H102" s="15">
        <f>IF($D102=0,$C102*(Assumptions!$B$28/Assumptions!$B$29)*20,$C102*(Assumptions!$B$28/Assumptions!$B$29)*(1+$D102)*((1+$D102)^20-1)/$D102)</f>
        <v>218916283.09401146</v>
      </c>
      <c r="I102" s="15">
        <f>H102/20</f>
        <v>10945814.154700574</v>
      </c>
      <c r="J102" s="10">
        <f>IFERROR(H102/$H$139,0)</f>
        <v>3.5670812466782951E-3</v>
      </c>
      <c r="K102" s="15">
        <f>'Projection FY26-FY45'!E101*0.01</f>
        <v>98695.288716059949</v>
      </c>
    </row>
    <row r="103" spans="1:11">
      <c r="A103" s="24" t="str">
        <f>'Historical FY16-FY25'!A102</f>
        <v>Buena Vista City</v>
      </c>
      <c r="B103" s="24" t="str">
        <f>'Historical FY16-FY25'!B102</f>
        <v>City</v>
      </c>
      <c r="C103" s="25">
        <f>'Historical FY16-FY25'!D102</f>
        <v>632159</v>
      </c>
      <c r="D103" s="27">
        <f>'Projection FY26-FY45'!D102</f>
        <v>4.0289918502730671E-2</v>
      </c>
      <c r="E103" s="18">
        <f>$C103*(Assumptions!$B$28/Assumptions!$B$29)*(1+$D103)^2</f>
        <v>684124.43868349202</v>
      </c>
      <c r="F103" s="18">
        <f>$C103*(Assumptions!$B$28/Assumptions!$B$29)*(1+$D103)^10</f>
        <v>938361.59057549213</v>
      </c>
      <c r="G103" s="18">
        <f>$C103*(Assumptions!$B$28/Assumptions!$B$29)*(1+$D103)^20</f>
        <v>1392881.3394531554</v>
      </c>
      <c r="H103" s="18">
        <f>IF($D103=0,$C103*(Assumptions!$B$28/Assumptions!$B$29)*20,$C103*(Assumptions!$B$28/Assumptions!$B$29)*(1+$D103)*((1+$D103)^20-1)/$D103)</f>
        <v>19641930.535533201</v>
      </c>
      <c r="I103" s="18">
        <f>H103/20</f>
        <v>982096.52677666</v>
      </c>
      <c r="J103" s="19">
        <f>IFERROR(H103/$H$139,0)</f>
        <v>3.2005093943500673E-4</v>
      </c>
      <c r="K103" s="18">
        <f>'Projection FY26-FY45'!E102*0.01</f>
        <v>17840.826461733242</v>
      </c>
    </row>
    <row r="104" spans="1:11">
      <c r="A104" s="22" t="str">
        <f>'Historical FY16-FY25'!A103</f>
        <v>Charlottesville City</v>
      </c>
      <c r="B104" s="22" t="str">
        <f>'Historical FY16-FY25'!B103</f>
        <v>City</v>
      </c>
      <c r="C104" s="23">
        <f>'Historical FY16-FY25'!D103</f>
        <v>14252853</v>
      </c>
      <c r="D104" s="26">
        <f>'Projection FY26-FY45'!D103</f>
        <v>3.8457287619192981E-2</v>
      </c>
      <c r="E104" s="15">
        <f>$C104*(Assumptions!$B$28/Assumptions!$B$29)*(1+$D104)^2</f>
        <v>15370184.576248623</v>
      </c>
      <c r="F104" s="15">
        <f>$C104*(Assumptions!$B$28/Assumptions!$B$29)*(1+$D104)^10</f>
        <v>20786826.462439183</v>
      </c>
      <c r="G104" s="15">
        <f>$C104*(Assumptions!$B$28/Assumptions!$B$29)*(1+$D104)^20</f>
        <v>30316186.827967841</v>
      </c>
      <c r="H104" s="15">
        <f>IF($D104=0,$C104*(Assumptions!$B$28/Assumptions!$B$29)*20,$C104*(Assumptions!$B$28/Assumptions!$B$29)*(1+$D104)*((1+$D104)^20-1)/$D104)</f>
        <v>433756177.56224805</v>
      </c>
      <c r="I104" s="15">
        <f>H104/20</f>
        <v>21687808.878112402</v>
      </c>
      <c r="J104" s="10">
        <f>IFERROR(H104/$H$139,0)</f>
        <v>7.0677407123192716E-3</v>
      </c>
      <c r="K104" s="15">
        <f>'Projection FY26-FY45'!E103*0.01</f>
        <v>214053.70109588502</v>
      </c>
    </row>
    <row r="105" spans="1:11">
      <c r="A105" s="24" t="str">
        <f>'Historical FY16-FY25'!A104</f>
        <v>Chesapeake City</v>
      </c>
      <c r="B105" s="24" t="str">
        <f>'Historical FY16-FY25'!B104</f>
        <v>City</v>
      </c>
      <c r="C105" s="25">
        <f>'Historical FY16-FY25'!D104</f>
        <v>60185414</v>
      </c>
      <c r="D105" s="27">
        <f>'Projection FY26-FY45'!D104</f>
        <v>4.4782914150210629E-2</v>
      </c>
      <c r="E105" s="18">
        <f>$C105*(Assumptions!$B$28/Assumptions!$B$29)*(1+$D105)^2</f>
        <v>65696672.87002074</v>
      </c>
      <c r="F105" s="18">
        <f>$C105*(Assumptions!$B$28/Assumptions!$B$29)*(1+$D105)^10</f>
        <v>93272124.684006065</v>
      </c>
      <c r="G105" s="18">
        <f>$C105*(Assumptions!$B$28/Assumptions!$B$29)*(1+$D105)^20</f>
        <v>144548133.25814748</v>
      </c>
      <c r="H105" s="18">
        <f>IF($D105=0,$C105*(Assumptions!$B$28/Assumptions!$B$29)*20,$C105*(Assumptions!$B$28/Assumptions!$B$29)*(1+$D105)*((1+$D105)^20-1)/$D105)</f>
        <v>1968177581.6670222</v>
      </c>
      <c r="I105" s="18">
        <f>H105/20</f>
        <v>98408879.083351105</v>
      </c>
      <c r="J105" s="19">
        <f>IFERROR(H105/$H$139,0)</f>
        <v>3.2070018924458557E-2</v>
      </c>
      <c r="K105" s="18">
        <f>'Projection FY26-FY45'!E104*0.01</f>
        <v>1159164.1072822006</v>
      </c>
    </row>
    <row r="106" spans="1:11">
      <c r="A106" s="22" t="str">
        <f>'Historical FY16-FY25'!A105</f>
        <v>Colonial Heights City</v>
      </c>
      <c r="B106" s="22" t="str">
        <f>'Historical FY16-FY25'!B105</f>
        <v>City</v>
      </c>
      <c r="C106" s="23">
        <f>'Historical FY16-FY25'!D105</f>
        <v>10120756</v>
      </c>
      <c r="D106" s="26">
        <f>'Projection FY26-FY45'!D105</f>
        <v>3.8579270413091948E-2</v>
      </c>
      <c r="E106" s="15">
        <f>$C106*(Assumptions!$B$28/Assumptions!$B$29)*(1+$D106)^2</f>
        <v>10916722.09448682</v>
      </c>
      <c r="F106" s="15">
        <f>$C106*(Assumptions!$B$28/Assumptions!$B$29)*(1+$D106)^10</f>
        <v>14777788.778326988</v>
      </c>
      <c r="G106" s="15">
        <f>$C106*(Assumptions!$B$28/Assumptions!$B$29)*(1+$D106)^20</f>
        <v>21577739.961011518</v>
      </c>
      <c r="H106" s="15">
        <f>IF($D106=0,$C106*(Assumptions!$B$28/Assumptions!$B$29)*20,$C106*(Assumptions!$B$28/Assumptions!$B$29)*(1+$D106)*((1+$D106)^20-1)/$D106)</f>
        <v>308429524.87053496</v>
      </c>
      <c r="I106" s="15">
        <f>H106/20</f>
        <v>15421476.243526747</v>
      </c>
      <c r="J106" s="10">
        <f>IFERROR(H106/$H$139,0)</f>
        <v>5.0256342677584883E-3</v>
      </c>
      <c r="K106" s="15">
        <f>'Projection FY26-FY45'!E105*0.01</f>
        <v>140912.05706311905</v>
      </c>
    </row>
    <row r="107" spans="1:11">
      <c r="A107" s="24" t="str">
        <f>'Historical FY16-FY25'!A106</f>
        <v>Covington City</v>
      </c>
      <c r="B107" s="24" t="str">
        <f>'Historical FY16-FY25'!B106</f>
        <v>City</v>
      </c>
      <c r="C107" s="25">
        <f>'Historical FY16-FY25'!D106</f>
        <v>1789390</v>
      </c>
      <c r="D107" s="27">
        <f>'Projection FY26-FY45'!D106</f>
        <v>3.7419388347380789E-2</v>
      </c>
      <c r="E107" s="18">
        <f>$C107*(Assumptions!$B$28/Assumptions!$B$29)*(1+$D107)^2</f>
        <v>1925811.2815188414</v>
      </c>
      <c r="F107" s="18">
        <f>$C107*(Assumptions!$B$28/Assumptions!$B$29)*(1+$D107)^10</f>
        <v>2583738.8095263499</v>
      </c>
      <c r="G107" s="18">
        <f>$C107*(Assumptions!$B$28/Assumptions!$B$29)*(1+$D107)^20</f>
        <v>3730716.1858804617</v>
      </c>
      <c r="H107" s="18">
        <f>IF($D107=0,$C107*(Assumptions!$B$28/Assumptions!$B$29)*20,$C107*(Assumptions!$B$28/Assumptions!$B$29)*(1+$D107)*((1+$D107)^20-1)/$D107)</f>
        <v>53821548.488240644</v>
      </c>
      <c r="I107" s="18">
        <f>H107/20</f>
        <v>2691077.4244120321</v>
      </c>
      <c r="J107" s="19">
        <f>IFERROR(H107/$H$139,0)</f>
        <v>8.7698289759991638E-4</v>
      </c>
      <c r="K107" s="18">
        <f>'Projection FY26-FY45'!E106*0.01</f>
        <v>29259.635783796613</v>
      </c>
    </row>
    <row r="108" spans="1:11">
      <c r="A108" s="22" t="str">
        <f>'Historical FY16-FY25'!A107</f>
        <v>Danville City</v>
      </c>
      <c r="B108" s="22" t="str">
        <f>'Historical FY16-FY25'!B107</f>
        <v>City</v>
      </c>
      <c r="C108" s="23">
        <f>'Historical FY16-FY25'!D107</f>
        <v>13726795</v>
      </c>
      <c r="D108" s="26">
        <f>'Projection FY26-FY45'!D107</f>
        <v>4.7728972101564016E-2</v>
      </c>
      <c r="E108" s="15">
        <f>$C108*(Assumptions!$B$28/Assumptions!$B$29)*(1+$D108)^2</f>
        <v>15068397.022132391</v>
      </c>
      <c r="F108" s="15">
        <f>$C108*(Assumptions!$B$28/Assumptions!$B$29)*(1+$D108)^10</f>
        <v>21880572.497414488</v>
      </c>
      <c r="G108" s="15">
        <f>$C108*(Assumptions!$B$28/Assumptions!$B$29)*(1+$D108)^20</f>
        <v>34877730.221410848</v>
      </c>
      <c r="H108" s="15">
        <f>IF($D108=0,$C108*(Assumptions!$B$28/Assumptions!$B$29)*20,$C108*(Assumptions!$B$28/Assumptions!$B$29)*(1+$D108)*((1+$D108)^20-1)/$D108)</f>
        <v>464297608.82676506</v>
      </c>
      <c r="I108" s="15">
        <f>H108/20</f>
        <v>23214880.441338252</v>
      </c>
      <c r="J108" s="10">
        <f>IFERROR(H108/$H$139,0)</f>
        <v>7.5653910705778572E-3</v>
      </c>
      <c r="K108" s="15">
        <f>'Projection FY26-FY45'!E107*0.01</f>
        <v>220763.24179637985</v>
      </c>
    </row>
    <row r="109" spans="1:11">
      <c r="A109" s="24" t="str">
        <f>'Historical FY16-FY25'!A108</f>
        <v>Emporia City</v>
      </c>
      <c r="B109" s="24" t="str">
        <f>'Historical FY16-FY25'!B108</f>
        <v>City</v>
      </c>
      <c r="C109" s="25">
        <f>'Historical FY16-FY25'!D108</f>
        <v>2807702</v>
      </c>
      <c r="D109" s="27">
        <f>'Projection FY26-FY45'!D108</f>
        <v>4.8908027700969248E-2</v>
      </c>
      <c r="E109" s="18">
        <f>$C109*(Assumptions!$B$28/Assumptions!$B$29)*(1+$D109)^2</f>
        <v>3089056.3440170367</v>
      </c>
      <c r="F109" s="18">
        <f>$C109*(Assumptions!$B$28/Assumptions!$B$29)*(1+$D109)^10</f>
        <v>4526109.992186944</v>
      </c>
      <c r="G109" s="18">
        <f>$C109*(Assumptions!$B$28/Assumptions!$B$29)*(1+$D109)^20</f>
        <v>7296241.432094465</v>
      </c>
      <c r="H109" s="18">
        <f>IF($D109=0,$C109*(Assumptions!$B$28/Assumptions!$B$29)*20,$C109*(Assumptions!$B$28/Assumptions!$B$29)*(1+$D109)*((1+$D109)^20-1)/$D109)</f>
        <v>96263645.546330854</v>
      </c>
      <c r="I109" s="18">
        <f>H109/20</f>
        <v>4813182.2773165423</v>
      </c>
      <c r="J109" s="19">
        <f>IFERROR(H109/$H$139,0)</f>
        <v>1.5685459295768423E-3</v>
      </c>
      <c r="K109" s="18">
        <f>'Projection FY26-FY45'!E108*0.01</f>
        <v>41311.074845718242</v>
      </c>
    </row>
    <row r="110" spans="1:11">
      <c r="A110" s="22" t="str">
        <f>'Historical FY16-FY25'!A109</f>
        <v>Fairfax City</v>
      </c>
      <c r="B110" s="22" t="str">
        <f>'Historical FY16-FY25'!B109</f>
        <v>City</v>
      </c>
      <c r="C110" s="23">
        <f>'Historical FY16-FY25'!D109</f>
        <v>13449817</v>
      </c>
      <c r="D110" s="26">
        <f>'Projection FY26-FY45'!D109</f>
        <v>3.1874299417589347E-2</v>
      </c>
      <c r="E110" s="15">
        <f>$C110*(Assumptions!$B$28/Assumptions!$B$29)*(1+$D110)^2</f>
        <v>14320888.611874102</v>
      </c>
      <c r="F110" s="15">
        <f>$C110*(Assumptions!$B$28/Assumptions!$B$29)*(1+$D110)^10</f>
        <v>18407055.965931401</v>
      </c>
      <c r="G110" s="15">
        <f>$C110*(Assumptions!$B$28/Assumptions!$B$29)*(1+$D110)^20</f>
        <v>25191399.208846547</v>
      </c>
      <c r="H110" s="15">
        <f>IF($D110=0,$C110*(Assumptions!$B$28/Assumptions!$B$29)*20,$C110*(Assumptions!$B$28/Assumptions!$B$29)*(1+$D110)*((1+$D110)^20-1)/$D110)</f>
        <v>380113042.08059305</v>
      </c>
      <c r="I110" s="15">
        <f>H110/20</f>
        <v>19005652.104029652</v>
      </c>
      <c r="J110" s="10">
        <f>IFERROR(H110/$H$139,0)</f>
        <v>6.1936649246015461E-3</v>
      </c>
      <c r="K110" s="15">
        <f>'Projection FY26-FY45'!E109*0.01</f>
        <v>177827.82005904138</v>
      </c>
    </row>
    <row r="111" spans="1:11">
      <c r="A111" s="24" t="str">
        <f>'Historical FY16-FY25'!A110</f>
        <v>Falls Church City</v>
      </c>
      <c r="B111" s="24" t="str">
        <f>'Historical FY16-FY25'!B110</f>
        <v>City</v>
      </c>
      <c r="C111" s="25">
        <f>'Historical FY16-FY25'!D110</f>
        <v>7136528</v>
      </c>
      <c r="D111" s="27">
        <f>'Projection FY26-FY45'!D110</f>
        <v>4.369007700743277E-2</v>
      </c>
      <c r="E111" s="18">
        <f>$C111*(Assumptions!$B$28/Assumptions!$B$29)*(1+$D111)^2</f>
        <v>7773741.2833369933</v>
      </c>
      <c r="F111" s="18">
        <f>$C111*(Assumptions!$B$28/Assumptions!$B$29)*(1+$D111)^10</f>
        <v>10944666.132703036</v>
      </c>
      <c r="G111" s="18">
        <f>$C111*(Assumptions!$B$28/Assumptions!$B$29)*(1+$D111)^20</f>
        <v>16784873.086231399</v>
      </c>
      <c r="H111" s="18">
        <f>IF($D111=0,$C111*(Assumptions!$B$28/Assumptions!$B$29)*20,$C111*(Assumptions!$B$28/Assumptions!$B$29)*(1+$D111)*((1+$D111)^20-1)/$D111)</f>
        <v>230484419.24993622</v>
      </c>
      <c r="I111" s="18">
        <f>H111/20</f>
        <v>11524220.962496812</v>
      </c>
      <c r="J111" s="19">
        <f>IFERROR(H111/$H$139,0)</f>
        <v>3.7555755923597434E-3</v>
      </c>
      <c r="K111" s="18">
        <f>'Projection FY26-FY45'!E110*0.01</f>
        <v>106855.7662996258</v>
      </c>
    </row>
    <row r="112" spans="1:11">
      <c r="A112" s="22" t="str">
        <f>'Historical FY16-FY25'!A111</f>
        <v>Franklin City</v>
      </c>
      <c r="B112" s="22" t="str">
        <f>'Historical FY16-FY25'!B111</f>
        <v>City</v>
      </c>
      <c r="C112" s="23">
        <f>'Historical FY16-FY25'!D111</f>
        <v>2392096</v>
      </c>
      <c r="D112" s="26">
        <f>'Projection FY26-FY45'!D111</f>
        <v>3.5361520082310194E-2</v>
      </c>
      <c r="E112" s="15">
        <f>$C112*(Assumptions!$B$28/Assumptions!$B$29)*(1+$D112)^2</f>
        <v>2564263.467076845</v>
      </c>
      <c r="F112" s="15">
        <f>$C112*(Assumptions!$B$28/Assumptions!$B$29)*(1+$D112)^10</f>
        <v>3386092.4061750853</v>
      </c>
      <c r="G112" s="15">
        <f>$C112*(Assumptions!$B$28/Assumptions!$B$29)*(1+$D112)^20</f>
        <v>4793127.777127916</v>
      </c>
      <c r="H112" s="15">
        <f>IF($D112=0,$C112*(Assumptions!$B$28/Assumptions!$B$29)*20,$C112*(Assumptions!$B$28/Assumptions!$B$29)*(1+$D112)*((1+$D112)^20-1)/$D112)</f>
        <v>70300595.244396567</v>
      </c>
      <c r="I112" s="15">
        <f>H112/20</f>
        <v>3515029.7622198286</v>
      </c>
      <c r="J112" s="10">
        <f>IFERROR(H112/$H$139,0)</f>
        <v>1.1454969515397742E-3</v>
      </c>
      <c r="K112" s="15">
        <f>'Projection FY26-FY45'!E111*0.01</f>
        <v>40446.594500704261</v>
      </c>
    </row>
    <row r="113" spans="1:11">
      <c r="A113" s="24" t="str">
        <f>'Historical FY16-FY25'!A112</f>
        <v>Fredericksburg City</v>
      </c>
      <c r="B113" s="24" t="str">
        <f>'Historical FY16-FY25'!B112</f>
        <v>City</v>
      </c>
      <c r="C113" s="25">
        <f>'Historical FY16-FY25'!D112</f>
        <v>16462338</v>
      </c>
      <c r="D113" s="27">
        <f>'Projection FY26-FY45'!D112</f>
        <v>4.4958724537281003E-2</v>
      </c>
      <c r="E113" s="18">
        <f>$C113*(Assumptions!$B$28/Assumptions!$B$29)*(1+$D113)^2</f>
        <v>17975864.547103863</v>
      </c>
      <c r="F113" s="18">
        <f>$C113*(Assumptions!$B$28/Assumptions!$B$29)*(1+$D113)^10</f>
        <v>25555411.441792138</v>
      </c>
      <c r="G113" s="18">
        <f>$C113*(Assumptions!$B$28/Assumptions!$B$29)*(1+$D113)^20</f>
        <v>39671099.813360691</v>
      </c>
      <c r="H113" s="18">
        <f>IF($D113=0,$C113*(Assumptions!$B$28/Assumptions!$B$29)*20,$C113*(Assumptions!$B$28/Assumptions!$B$29)*(1+$D113)*((1+$D113)^20-1)/$D113)</f>
        <v>539432521.5446974</v>
      </c>
      <c r="I113" s="18">
        <f>H113/20</f>
        <v>26971626.077234872</v>
      </c>
      <c r="J113" s="19">
        <f>IFERROR(H113/$H$139,0)</f>
        <v>8.7896597012116582E-3</v>
      </c>
      <c r="K113" s="18">
        <f>'Projection FY26-FY45'!E112*0.01</f>
        <v>217886.3499740196</v>
      </c>
    </row>
    <row r="114" spans="1:11">
      <c r="A114" s="22" t="str">
        <f>'Historical FY16-FY25'!A113</f>
        <v>Galax City</v>
      </c>
      <c r="B114" s="22" t="str">
        <f>'Historical FY16-FY25'!B113</f>
        <v>City</v>
      </c>
      <c r="C114" s="23">
        <f>'Historical FY16-FY25'!D113</f>
        <v>3354858</v>
      </c>
      <c r="D114" s="26">
        <f>'Projection FY26-FY45'!D113</f>
        <v>4.6383733686508055E-2</v>
      </c>
      <c r="E114" s="15">
        <f>$C114*(Assumptions!$B$28/Assumptions!$B$29)*(1+$D114)^2</f>
        <v>3673297.4918186972</v>
      </c>
      <c r="F114" s="15">
        <f>$C114*(Assumptions!$B$28/Assumptions!$B$29)*(1+$D114)^10</f>
        <v>5279392.3739035903</v>
      </c>
      <c r="G114" s="15">
        <f>$C114*(Assumptions!$B$28/Assumptions!$B$29)*(1+$D114)^20</f>
        <v>8307947.4116732758</v>
      </c>
      <c r="H114" s="15">
        <f>IF($D114=0,$C114*(Assumptions!$B$28/Assumptions!$B$29)*20,$C114*(Assumptions!$B$28/Assumptions!$B$29)*(1+$D114)*((1+$D114)^20-1)/$D114)</f>
        <v>111738141.3686703</v>
      </c>
      <c r="I114" s="15">
        <f>H114/20</f>
        <v>5586907.0684335148</v>
      </c>
      <c r="J114" s="10">
        <f>IFERROR(H114/$H$139,0)</f>
        <v>1.8206915583511263E-3</v>
      </c>
      <c r="K114" s="15">
        <f>'Projection FY26-FY45'!E113*0.01</f>
        <v>48342.028606305699</v>
      </c>
    </row>
    <row r="115" spans="1:11">
      <c r="A115" s="24" t="str">
        <f>'Historical FY16-FY25'!A114</f>
        <v>Hampton City</v>
      </c>
      <c r="B115" s="24" t="str">
        <f>'Historical FY16-FY25'!B114</f>
        <v>City</v>
      </c>
      <c r="C115" s="25">
        <f>'Historical FY16-FY25'!D114</f>
        <v>23608084</v>
      </c>
      <c r="D115" s="27">
        <f>'Projection FY26-FY45'!D114</f>
        <v>4.2123815404941145E-2</v>
      </c>
      <c r="E115" s="18">
        <f>$C115*(Assumptions!$B$28/Assumptions!$B$29)*(1+$D115)^2</f>
        <v>25638899.702790972</v>
      </c>
      <c r="F115" s="18">
        <f>$C115*(Assumptions!$B$28/Assumptions!$B$29)*(1+$D115)^10</f>
        <v>35665962.625218235</v>
      </c>
      <c r="G115" s="18">
        <f>$C115*(Assumptions!$B$28/Assumptions!$B$29)*(1+$D115)^20</f>
        <v>53882428.153994367</v>
      </c>
      <c r="H115" s="18">
        <f>IF($D115=0,$C115*(Assumptions!$B$28/Assumptions!$B$29)*20,$C115*(Assumptions!$B$28/Assumptions!$B$29)*(1+$D115)*((1+$D115)^20-1)/$D115)</f>
        <v>748973347.62658036</v>
      </c>
      <c r="I115" s="18">
        <f>H115/20</f>
        <v>37448667.381329015</v>
      </c>
      <c r="J115" s="19">
        <f>IFERROR(H115/$H$139,0)</f>
        <v>1.2203974710429945E-2</v>
      </c>
      <c r="K115" s="18">
        <f>'Projection FY26-FY45'!E114*0.01</f>
        <v>483217.7024079478</v>
      </c>
    </row>
    <row r="116" spans="1:11">
      <c r="A116" s="22" t="str">
        <f>'Historical FY16-FY25'!A115</f>
        <v>Harrisonburg City</v>
      </c>
      <c r="B116" s="22" t="str">
        <f>'Historical FY16-FY25'!B115</f>
        <v>City</v>
      </c>
      <c r="C116" s="23">
        <f>'Historical FY16-FY25'!D115</f>
        <v>18792426</v>
      </c>
      <c r="D116" s="26">
        <f>'Projection FY26-FY45'!D115</f>
        <v>4.5056812225271692E-2</v>
      </c>
      <c r="E116" s="15">
        <f>$C116*(Assumptions!$B$28/Assumptions!$B$29)*(1+$D116)^2</f>
        <v>20524030.429942142</v>
      </c>
      <c r="F116" s="15">
        <f>$C116*(Assumptions!$B$28/Assumptions!$B$29)*(1+$D116)^10</f>
        <v>29199932.959638584</v>
      </c>
      <c r="G116" s="15">
        <f>$C116*(Assumptions!$B$28/Assumptions!$B$29)*(1+$D116)^20</f>
        <v>45371262.063098595</v>
      </c>
      <c r="H116" s="15">
        <f>IF($D116=0,$C116*(Assumptions!$B$28/Assumptions!$B$29)*20,$C116*(Assumptions!$B$28/Assumptions!$B$29)*(1+$D116)*((1+$D116)^20-1)/$D116)</f>
        <v>616474897.28935015</v>
      </c>
      <c r="I116" s="15">
        <f>H116/20</f>
        <v>30823744.864467509</v>
      </c>
      <c r="J116" s="10">
        <f>IFERROR(H116/$H$139,0)</f>
        <v>1.0045009051356966E-2</v>
      </c>
      <c r="K116" s="15">
        <f>'Projection FY26-FY45'!E115*0.01</f>
        <v>277940.02830104285</v>
      </c>
    </row>
    <row r="117" spans="1:11">
      <c r="A117" s="24" t="str">
        <f>'Historical FY16-FY25'!A116</f>
        <v>Hopewell City</v>
      </c>
      <c r="B117" s="24" t="str">
        <f>'Historical FY16-FY25'!B116</f>
        <v>City</v>
      </c>
      <c r="C117" s="25">
        <f>'Historical FY16-FY25'!D116</f>
        <v>2814259</v>
      </c>
      <c r="D117" s="27">
        <f>'Projection FY26-FY45'!D116</f>
        <v>3.7257163181918074E-2</v>
      </c>
      <c r="E117" s="18">
        <f>$C117*(Assumptions!$B$28/Assumptions!$B$29)*(1+$D117)^2</f>
        <v>3027868.0758456178</v>
      </c>
      <c r="F117" s="18">
        <f>$C117*(Assumptions!$B$28/Assumptions!$B$29)*(1+$D117)^10</f>
        <v>4057219.3738502455</v>
      </c>
      <c r="G117" s="18">
        <f>$C117*(Assumptions!$B$28/Assumptions!$B$29)*(1+$D117)^20</f>
        <v>5849152.138287832</v>
      </c>
      <c r="H117" s="18">
        <f>IF($D117=0,$C117*(Assumptions!$B$28/Assumptions!$B$29)*20,$C117*(Assumptions!$B$28/Assumptions!$B$29)*(1+$D117)*((1+$D117)^20-1)/$D117)</f>
        <v>84492870.050516874</v>
      </c>
      <c r="I117" s="18">
        <f>H117/20</f>
        <v>4224643.5025258437</v>
      </c>
      <c r="J117" s="19">
        <f>IFERROR(H117/$H$139,0)</f>
        <v>1.3767497235726166E-3</v>
      </c>
      <c r="K117" s="18">
        <f>'Projection FY26-FY45'!E116*0.01</f>
        <v>75102.791606476152</v>
      </c>
    </row>
    <row r="118" spans="1:11">
      <c r="A118" s="22" t="str">
        <f>'Historical FY16-FY25'!A117</f>
        <v>Lexington City</v>
      </c>
      <c r="B118" s="22" t="str">
        <f>'Historical FY16-FY25'!B117</f>
        <v>City</v>
      </c>
      <c r="C118" s="23">
        <f>'Historical FY16-FY25'!D117</f>
        <v>1408157</v>
      </c>
      <c r="D118" s="26">
        <f>'Projection FY26-FY45'!D117</f>
        <v>3.6352796472884918E-2</v>
      </c>
      <c r="E118" s="15">
        <f>$C118*(Assumptions!$B$28/Assumptions!$B$29)*(1+$D118)^2</f>
        <v>1512398.8054677385</v>
      </c>
      <c r="F118" s="15">
        <f>$C118*(Assumptions!$B$28/Assumptions!$B$29)*(1+$D118)^10</f>
        <v>2012460.267458804</v>
      </c>
      <c r="G118" s="15">
        <f>$C118*(Assumptions!$B$28/Assumptions!$B$29)*(1+$D118)^20</f>
        <v>2876097.145489004</v>
      </c>
      <c r="H118" s="15">
        <f>IF($D118=0,$C118*(Assumptions!$B$28/Assumptions!$B$29)*20,$C118*(Assumptions!$B$28/Assumptions!$B$29)*(1+$D118)*((1+$D118)^20-1)/$D118)</f>
        <v>41848331.419759244</v>
      </c>
      <c r="I118" s="15">
        <f>H118/20</f>
        <v>2092416.5709879622</v>
      </c>
      <c r="J118" s="10">
        <f>IFERROR(H118/$H$139,0)</f>
        <v>6.8188805374562293E-4</v>
      </c>
      <c r="K118" s="15">
        <f>'Projection FY26-FY45'!E117*0.01</f>
        <v>21849.446735093763</v>
      </c>
    </row>
    <row r="119" spans="1:11">
      <c r="A119" s="24" t="str">
        <f>'Historical FY16-FY25'!A118</f>
        <v>Lynchburg City</v>
      </c>
      <c r="B119" s="24" t="str">
        <f>'Historical FY16-FY25'!B118</f>
        <v>City</v>
      </c>
      <c r="C119" s="25">
        <f>'Historical FY16-FY25'!D118</f>
        <v>22322227</v>
      </c>
      <c r="D119" s="27">
        <f>'Projection FY26-FY45'!D118</f>
        <v>4.2941516804270496E-2</v>
      </c>
      <c r="E119" s="18">
        <f>$C119*(Assumptions!$B$28/Assumptions!$B$29)*(1+$D119)^2</f>
        <v>24280489.174865149</v>
      </c>
      <c r="F119" s="18">
        <f>$C119*(Assumptions!$B$28/Assumptions!$B$29)*(1+$D119)^10</f>
        <v>33988897.665161997</v>
      </c>
      <c r="G119" s="18">
        <f>$C119*(Assumptions!$B$28/Assumptions!$B$29)*(1+$D119)^20</f>
        <v>51753132.180443048</v>
      </c>
      <c r="H119" s="18">
        <f>IF($D119=0,$C119*(Assumptions!$B$28/Assumptions!$B$29)*20,$C119*(Assumptions!$B$28/Assumptions!$B$29)*(1+$D119)*((1+$D119)^20-1)/$D119)</f>
        <v>714802717.14019597</v>
      </c>
      <c r="I119" s="18">
        <f>H119/20</f>
        <v>35740135.857009798</v>
      </c>
      <c r="J119" s="19">
        <f>IFERROR(H119/$H$139,0)</f>
        <v>1.1647189196477056E-2</v>
      </c>
      <c r="K119" s="18">
        <f>'Projection FY26-FY45'!E118*0.01</f>
        <v>353132.41540509881</v>
      </c>
    </row>
    <row r="120" spans="1:11">
      <c r="A120" s="22" t="str">
        <f>'Historical FY16-FY25'!A119</f>
        <v>Manassas City</v>
      </c>
      <c r="B120" s="22" t="str">
        <f>'Historical FY16-FY25'!B119</f>
        <v>City</v>
      </c>
      <c r="C120" s="23">
        <f>'Historical FY16-FY25'!D119</f>
        <v>14659039</v>
      </c>
      <c r="D120" s="26">
        <f>'Projection FY26-FY45'!D119</f>
        <v>6.0248104372083167E-2</v>
      </c>
      <c r="E120" s="15">
        <f>$C120*(Assumptions!$B$28/Assumptions!$B$29)*(1+$D120)^2</f>
        <v>16478607.502681417</v>
      </c>
      <c r="F120" s="15">
        <f>$C120*(Assumptions!$B$28/Assumptions!$B$29)*(1+$D120)^10</f>
        <v>26313616.857437063</v>
      </c>
      <c r="G120" s="15">
        <f>$C120*(Assumptions!$B$28/Assumptions!$B$29)*(1+$D120)^20</f>
        <v>47234094.412327841</v>
      </c>
      <c r="H120" s="15">
        <f>IF($D120=0,$C120*(Assumptions!$B$28/Assumptions!$B$29)*20,$C120*(Assumptions!$B$28/Assumptions!$B$29)*(1+$D120)*((1+$D120)^20-1)/$D120)</f>
        <v>573256886.84637976</v>
      </c>
      <c r="I120" s="15">
        <f>H120/20</f>
        <v>28662844.342318989</v>
      </c>
      <c r="J120" s="10">
        <f>IFERROR(H120/$H$139,0)</f>
        <v>9.3408030764014043E-3</v>
      </c>
      <c r="K120" s="15">
        <f>'Projection FY26-FY45'!E119*0.01</f>
        <v>248457.16245601827</v>
      </c>
    </row>
    <row r="121" spans="1:11">
      <c r="A121" s="24" t="str">
        <f>'Historical FY16-FY25'!A120</f>
        <v>Manassas Park City</v>
      </c>
      <c r="B121" s="24" t="str">
        <f>'Historical FY16-FY25'!B120</f>
        <v>City</v>
      </c>
      <c r="C121" s="25">
        <f>'Historical FY16-FY25'!D120</f>
        <v>2652571</v>
      </c>
      <c r="D121" s="27">
        <f>'Projection FY26-FY45'!D120</f>
        <v>3.7069458549569112E-2</v>
      </c>
      <c r="E121" s="18">
        <f>$C121*(Assumptions!$B$28/Assumptions!$B$29)*(1+$D121)^2</f>
        <v>2852874.7580012185</v>
      </c>
      <c r="F121" s="18">
        <f>$C121*(Assumptions!$B$28/Assumptions!$B$29)*(1+$D121)^10</f>
        <v>3817204.8158705374</v>
      </c>
      <c r="G121" s="18">
        <f>$C121*(Assumptions!$B$28/Assumptions!$B$29)*(1+$D121)^20</f>
        <v>5493180.9954588292</v>
      </c>
      <c r="H121" s="18">
        <f>IF($D121=0,$C121*(Assumptions!$B$28/Assumptions!$B$29)*20,$C121*(Assumptions!$B$28/Assumptions!$B$29)*(1+$D121)*((1+$D121)^20-1)/$D121)</f>
        <v>79469999.973205015</v>
      </c>
      <c r="I121" s="18">
        <f>H121/20</f>
        <v>3973499.9986602506</v>
      </c>
      <c r="J121" s="19">
        <f>IFERROR(H121/$H$139,0)</f>
        <v>1.2949057172517782E-3</v>
      </c>
      <c r="K121" s="18">
        <f>'Projection FY26-FY45'!E120*0.01</f>
        <v>65286.042494479661</v>
      </c>
    </row>
    <row r="122" spans="1:11">
      <c r="A122" s="22" t="str">
        <f>'Historical FY16-FY25'!A121</f>
        <v>Martinsville City</v>
      </c>
      <c r="B122" s="22" t="str">
        <f>'Historical FY16-FY25'!B121</f>
        <v>City</v>
      </c>
      <c r="C122" s="23">
        <f>'Historical FY16-FY25'!D121</f>
        <v>2647982</v>
      </c>
      <c r="D122" s="26">
        <f>'Projection FY26-FY45'!D121</f>
        <v>3.7245569535287126E-2</v>
      </c>
      <c r="E122" s="15">
        <f>$C122*(Assumptions!$B$28/Assumptions!$B$29)*(1+$D122)^2</f>
        <v>2848906.5619758144</v>
      </c>
      <c r="F122" s="15">
        <f>$C122*(Assumptions!$B$28/Assumptions!$B$29)*(1+$D122)^10</f>
        <v>3817076.9337687697</v>
      </c>
      <c r="G122" s="15">
        <f>$C122*(Assumptions!$B$28/Assumptions!$B$29)*(1+$D122)^20</f>
        <v>5502332.0847005732</v>
      </c>
      <c r="H122" s="15">
        <f>IF($D122=0,$C122*(Assumptions!$B$28/Assumptions!$B$29)*20,$C122*(Assumptions!$B$28/Assumptions!$B$29)*(1+$D122)*((1+$D122)^20-1)/$D122)</f>
        <v>79490312.974093646</v>
      </c>
      <c r="I122" s="15">
        <f>H122/20</f>
        <v>3974515.6487046825</v>
      </c>
      <c r="J122" s="10">
        <f>IFERROR(H122/$H$139,0)</f>
        <v>1.2952367027934178E-3</v>
      </c>
      <c r="K122" s="15">
        <f>'Projection FY26-FY45'!E121*0.01</f>
        <v>51978.564077564952</v>
      </c>
    </row>
    <row r="123" spans="1:11">
      <c r="A123" s="24" t="str">
        <f>'Historical FY16-FY25'!A122</f>
        <v>Newport News City</v>
      </c>
      <c r="B123" s="24" t="str">
        <f>'Historical FY16-FY25'!B122</f>
        <v>City</v>
      </c>
      <c r="C123" s="25">
        <f>'Historical FY16-FY25'!D122</f>
        <v>35674831</v>
      </c>
      <c r="D123" s="27">
        <f>'Projection FY26-FY45'!D122</f>
        <v>4.074926677691304E-2</v>
      </c>
      <c r="E123" s="18">
        <f>$C123*(Assumptions!$B$28/Assumptions!$B$29)*(1+$D123)^2</f>
        <v>38641515.566006988</v>
      </c>
      <c r="F123" s="18">
        <f>$C123*(Assumptions!$B$28/Assumptions!$B$29)*(1+$D123)^10</f>
        <v>53189151.263098612</v>
      </c>
      <c r="G123" s="18">
        <f>$C123*(Assumptions!$B$28/Assumptions!$B$29)*(1+$D123)^20</f>
        <v>79302010.206825748</v>
      </c>
      <c r="H123" s="18">
        <f>IF($D123=0,$C123*(Assumptions!$B$28/Assumptions!$B$29)*20,$C123*(Assumptions!$B$28/Assumptions!$B$29)*(1+$D123)*((1+$D123)^20-1)/$D123)</f>
        <v>1114252067.8868651</v>
      </c>
      <c r="I123" s="18">
        <f>H123/20</f>
        <v>55712603.394343257</v>
      </c>
      <c r="J123" s="19">
        <f>IFERROR(H123/$H$139,0)</f>
        <v>1.815592517494408E-2</v>
      </c>
      <c r="K123" s="18">
        <f>'Projection FY26-FY45'!E122*0.01</f>
        <v>708262.96146088</v>
      </c>
    </row>
    <row r="124" spans="1:11">
      <c r="A124" s="22" t="str">
        <f>'Historical FY16-FY25'!A123</f>
        <v>Norfolk City</v>
      </c>
      <c r="B124" s="22" t="str">
        <f>'Historical FY16-FY25'!B123</f>
        <v>City</v>
      </c>
      <c r="C124" s="23">
        <f>'Historical FY16-FY25'!D123</f>
        <v>48071166</v>
      </c>
      <c r="D124" s="26">
        <f>'Projection FY26-FY45'!D123</f>
        <v>4.1826104398786201E-2</v>
      </c>
      <c r="E124" s="15">
        <f>$C124*(Assumptions!$B$28/Assumptions!$B$29)*(1+$D124)^2</f>
        <v>52176522.019253187</v>
      </c>
      <c r="F124" s="15">
        <f>$C124*(Assumptions!$B$28/Assumptions!$B$29)*(1+$D124)^10</f>
        <v>72416412.682519242</v>
      </c>
      <c r="G124" s="15">
        <f>$C124*(Assumptions!$B$28/Assumptions!$B$29)*(1+$D124)^20</f>
        <v>109091109.33162996</v>
      </c>
      <c r="H124" s="15">
        <f>IF($D124=0,$C124*(Assumptions!$B$28/Assumptions!$B$29)*20,$C124*(Assumptions!$B$28/Assumptions!$B$29)*(1+$D124)*((1+$D124)^20-1)/$D124)</f>
        <v>1519916108.9855554</v>
      </c>
      <c r="I124" s="15">
        <f>H124/20</f>
        <v>75995805.449277773</v>
      </c>
      <c r="J124" s="10">
        <f>IFERROR(H124/$H$139,0)</f>
        <v>2.476592500229112E-2</v>
      </c>
      <c r="K124" s="15">
        <f>'Projection FY26-FY45'!E123*0.01</f>
        <v>856439.72304374096</v>
      </c>
    </row>
    <row r="125" spans="1:11">
      <c r="A125" s="24" t="str">
        <f>'Historical FY16-FY25'!A124</f>
        <v>Norton City</v>
      </c>
      <c r="B125" s="24" t="str">
        <f>'Historical FY16-FY25'!B124</f>
        <v>City</v>
      </c>
      <c r="C125" s="25">
        <f>'Historical FY16-FY25'!D124</f>
        <v>2318094</v>
      </c>
      <c r="D125" s="27">
        <f>'Projection FY26-FY45'!D124</f>
        <v>4.8946428381666296E-2</v>
      </c>
      <c r="E125" s="18">
        <f>$C125*(Assumptions!$B$28/Assumptions!$B$29)*(1+$D125)^2</f>
        <v>2550572.4242160725</v>
      </c>
      <c r="F125" s="18">
        <f>$C125*(Assumptions!$B$28/Assumptions!$B$29)*(1+$D125)^10</f>
        <v>3738213.73037373</v>
      </c>
      <c r="G125" s="18">
        <f>$C125*(Assumptions!$B$28/Assumptions!$B$29)*(1+$D125)^20</f>
        <v>6028332.7138393344</v>
      </c>
      <c r="H125" s="18">
        <f>IF($D125=0,$C125*(Assumptions!$B$28/Assumptions!$B$29)*20,$C125*(Assumptions!$B$28/Assumptions!$B$29)*(1+$D125)*((1+$D125)^20-1)/$D125)</f>
        <v>79512270.374009788</v>
      </c>
      <c r="I125" s="18">
        <f>H125/20</f>
        <v>3975613.5187004893</v>
      </c>
      <c r="J125" s="19">
        <f>IFERROR(H125/$H$139,0)</f>
        <v>1.2955944826184712E-3</v>
      </c>
      <c r="K125" s="18">
        <f>'Projection FY26-FY45'!E124*0.01</f>
        <v>32283.455694695396</v>
      </c>
    </row>
    <row r="126" spans="1:11">
      <c r="A126" s="22" t="str">
        <f>'Historical FY16-FY25'!A125</f>
        <v>Petersburg City</v>
      </c>
      <c r="B126" s="22" t="str">
        <f>'Historical FY16-FY25'!B125</f>
        <v>City</v>
      </c>
      <c r="C126" s="23">
        <f>'Historical FY16-FY25'!D125</f>
        <v>5693898</v>
      </c>
      <c r="D126" s="26">
        <f>'Projection FY26-FY45'!D125</f>
        <v>4.3501137722163907E-2</v>
      </c>
      <c r="E126" s="15">
        <f>$C126*(Assumptions!$B$28/Assumptions!$B$29)*(1+$D126)^2</f>
        <v>6200054.9242382115</v>
      </c>
      <c r="F126" s="15">
        <f>$C126*(Assumptions!$B$28/Assumptions!$B$29)*(1+$D126)^10</f>
        <v>8716436.1273767576</v>
      </c>
      <c r="G126" s="15">
        <f>$C126*(Assumptions!$B$28/Assumptions!$B$29)*(1+$D126)^20</f>
        <v>13343452.721253298</v>
      </c>
      <c r="H126" s="15">
        <f>IF($D126=0,$C126*(Assumptions!$B$28/Assumptions!$B$29)*20,$C126*(Assumptions!$B$28/Assumptions!$B$29)*(1+$D126)*((1+$D126)^20-1)/$D126)</f>
        <v>183496788.19155943</v>
      </c>
      <c r="I126" s="15">
        <f>H126/20</f>
        <v>9174839.4095779713</v>
      </c>
      <c r="J126" s="10">
        <f>IFERROR(H126/$H$139,0)</f>
        <v>2.9899463974670248E-3</v>
      </c>
      <c r="K126" s="15">
        <f>'Projection FY26-FY45'!E125*0.01</f>
        <v>112159.35280157637</v>
      </c>
    </row>
    <row r="127" spans="1:11">
      <c r="A127" s="24" t="str">
        <f>'Historical FY16-FY25'!A126</f>
        <v>Poquoson City</v>
      </c>
      <c r="B127" s="24" t="str">
        <f>'Historical FY16-FY25'!B126</f>
        <v>City</v>
      </c>
      <c r="C127" s="25">
        <f>'Historical FY16-FY25'!D126</f>
        <v>1243453</v>
      </c>
      <c r="D127" s="27">
        <f>'Projection FY26-FY45'!D126</f>
        <v>4.9594630603251311E-2</v>
      </c>
      <c r="E127" s="18">
        <f>$C127*(Assumptions!$B$28/Assumptions!$B$29)*(1+$D127)^2</f>
        <v>1369848.615465363</v>
      </c>
      <c r="F127" s="18">
        <f>$C127*(Assumptions!$B$28/Assumptions!$B$29)*(1+$D127)^10</f>
        <v>2017647.8905688846</v>
      </c>
      <c r="G127" s="18">
        <f>$C127*(Assumptions!$B$28/Assumptions!$B$29)*(1+$D127)^20</f>
        <v>3273869.6278163064</v>
      </c>
      <c r="H127" s="18">
        <f>IF($D127=0,$C127*(Assumptions!$B$28/Assumptions!$B$29)*20,$C127*(Assumptions!$B$28/Assumptions!$B$29)*(1+$D127)*((1+$D127)^20-1)/$D127)</f>
        <v>42970667.681590594</v>
      </c>
      <c r="I127" s="18">
        <f>H127/20</f>
        <v>2148533.3840795299</v>
      </c>
      <c r="J127" s="19">
        <f>IFERROR(H127/$H$139,0)</f>
        <v>7.0017570496764907E-4</v>
      </c>
      <c r="K127" s="18">
        <f>'Projection FY26-FY45'!E126*0.01</f>
        <v>40191.014619381858</v>
      </c>
    </row>
    <row r="128" spans="1:11">
      <c r="A128" s="22" t="str">
        <f>'Historical FY16-FY25'!A127</f>
        <v>Portsmouth City</v>
      </c>
      <c r="B128" s="22" t="str">
        <f>'Historical FY16-FY25'!B127</f>
        <v>City</v>
      </c>
      <c r="C128" s="23">
        <f>'Historical FY16-FY25'!D127</f>
        <v>12663273</v>
      </c>
      <c r="D128" s="26">
        <f>'Projection FY26-FY45'!D127</f>
        <v>4.5635434575942102E-2</v>
      </c>
      <c r="E128" s="15">
        <f>$C128*(Assumptions!$B$28/Assumptions!$B$29)*(1+$D128)^2</f>
        <v>13845433.375318035</v>
      </c>
      <c r="F128" s="15">
        <f>$C128*(Assumptions!$B$28/Assumptions!$B$29)*(1+$D128)^10</f>
        <v>19785584.835027687</v>
      </c>
      <c r="G128" s="15">
        <f>$C128*(Assumptions!$B$28/Assumptions!$B$29)*(1+$D128)^20</f>
        <v>30913758.80975461</v>
      </c>
      <c r="H128" s="15">
        <f>IF($D128=0,$C128*(Assumptions!$B$28/Assumptions!$B$29)*20,$C128*(Assumptions!$B$28/Assumptions!$B$29)*(1+$D128)*((1+$D128)^20-1)/$D128)</f>
        <v>418169670.96364874</v>
      </c>
      <c r="I128" s="15">
        <f>H128/20</f>
        <v>20908483.548182435</v>
      </c>
      <c r="J128" s="10">
        <f>IFERROR(H128/$H$139,0)</f>
        <v>6.813769949599831E-3</v>
      </c>
      <c r="K128" s="15">
        <f>'Projection FY26-FY45'!E127*0.01</f>
        <v>309438.59570349701</v>
      </c>
    </row>
    <row r="129" spans="1:11">
      <c r="A129" s="24" t="str">
        <f>'Historical FY16-FY25'!A128</f>
        <v>Radford City</v>
      </c>
      <c r="B129" s="24" t="str">
        <f>'Historical FY16-FY25'!B128</f>
        <v>City</v>
      </c>
      <c r="C129" s="25">
        <f>'Historical FY16-FY25'!D128</f>
        <v>1779307</v>
      </c>
      <c r="D129" s="27">
        <f>'Projection FY26-FY45'!D128</f>
        <v>4.9767527149668145E-2</v>
      </c>
      <c r="E129" s="18">
        <f>$C129*(Assumptions!$B$28/Assumptions!$B$29)*(1+$D129)^2</f>
        <v>1960817.4184634006</v>
      </c>
      <c r="F129" s="18">
        <f>$C129*(Assumptions!$B$28/Assumptions!$B$29)*(1+$D129)^10</f>
        <v>2891893.078299291</v>
      </c>
      <c r="G129" s="18">
        <f>$C129*(Assumptions!$B$28/Assumptions!$B$29)*(1+$D129)^20</f>
        <v>4700170.1091016596</v>
      </c>
      <c r="H129" s="18">
        <f>IF($D129=0,$C129*(Assumptions!$B$28/Assumptions!$B$29)*20,$C129*(Assumptions!$B$28/Assumptions!$B$29)*(1+$D129)*((1+$D129)^20-1)/$D129)</f>
        <v>61611002.571277767</v>
      </c>
      <c r="I129" s="18">
        <f>H129/20</f>
        <v>3080550.1285638884</v>
      </c>
      <c r="J129" s="19">
        <f>IFERROR(H129/$H$139,0)</f>
        <v>1.0039063735002044E-3</v>
      </c>
      <c r="K129" s="18">
        <f>'Projection FY26-FY45'!E128*0.01</f>
        <v>37989.680119060104</v>
      </c>
    </row>
    <row r="130" spans="1:11">
      <c r="A130" s="22" t="str">
        <f>'Historical FY16-FY25'!A129</f>
        <v>Richmond City</v>
      </c>
      <c r="B130" s="22" t="str">
        <f>'Historical FY16-FY25'!B129</f>
        <v>City</v>
      </c>
      <c r="C130" s="23">
        <f>'Historical FY16-FY25'!D129</f>
        <v>53791456</v>
      </c>
      <c r="D130" s="26">
        <f>'Projection FY26-FY45'!D129</f>
        <v>4.4409959179187108E-2</v>
      </c>
      <c r="E130" s="15">
        <f>$C130*(Assumptions!$B$28/Assumptions!$B$29)*(1+$D130)^2</f>
        <v>58675298.632158473</v>
      </c>
      <c r="F130" s="15">
        <f>$C130*(Assumptions!$B$28/Assumptions!$B$29)*(1+$D130)^10</f>
        <v>83066008.928855091</v>
      </c>
      <c r="G130" s="15">
        <f>$C130*(Assumptions!$B$28/Assumptions!$B$29)*(1+$D130)^20</f>
        <v>128272449.79887947</v>
      </c>
      <c r="H130" s="15">
        <f>IF($D130=0,$C130*(Assumptions!$B$28/Assumptions!$B$29)*20,$C130*(Assumptions!$B$28/Assumptions!$B$29)*(1+$D130)*((1+$D130)^20-1)/$D130)</f>
        <v>1751604665.5041502</v>
      </c>
      <c r="I130" s="15">
        <f>H130/20</f>
        <v>87580233.275207505</v>
      </c>
      <c r="J130" s="10">
        <f>IFERROR(H130/$H$139,0)</f>
        <v>2.8541121133647561E-2</v>
      </c>
      <c r="K130" s="15">
        <f>'Projection FY26-FY45'!E129*0.01</f>
        <v>854028.21715216653</v>
      </c>
    </row>
    <row r="131" spans="1:11">
      <c r="A131" s="24" t="str">
        <f>'Historical FY16-FY25'!A130</f>
        <v>Roanoke City</v>
      </c>
      <c r="B131" s="24" t="str">
        <f>'Historical FY16-FY25'!B130</f>
        <v>City</v>
      </c>
      <c r="C131" s="25">
        <f>'Historical FY16-FY25'!D130</f>
        <v>28977657</v>
      </c>
      <c r="D131" s="27">
        <f>'Projection FY26-FY45'!D130</f>
        <v>3.9233056298286884E-2</v>
      </c>
      <c r="E131" s="18">
        <f>$C131*(Assumptions!$B$28/Assumptions!$B$29)*(1+$D131)^2</f>
        <v>31296024.454359155</v>
      </c>
      <c r="F131" s="18">
        <f>$C131*(Assumptions!$B$28/Assumptions!$B$29)*(1+$D131)^10</f>
        <v>42578738.700737968</v>
      </c>
      <c r="G131" s="18">
        <f>$C131*(Assumptions!$B$28/Assumptions!$B$29)*(1+$D131)^20</f>
        <v>62563684.474066392</v>
      </c>
      <c r="H131" s="18">
        <f>IF($D131=0,$C131*(Assumptions!$B$28/Assumptions!$B$29)*20,$C131*(Assumptions!$B$28/Assumptions!$B$29)*(1+$D131)*((1+$D131)^20-1)/$D131)</f>
        <v>889650546.60593224</v>
      </c>
      <c r="I131" s="18">
        <f>H131/20</f>
        <v>44482527.330296613</v>
      </c>
      <c r="J131" s="19">
        <f>IFERROR(H131/$H$139,0)</f>
        <v>1.449620711645422E-2</v>
      </c>
      <c r="K131" s="18">
        <f>'Projection FY26-FY45'!E130*0.01</f>
        <v>476091.66027051437</v>
      </c>
    </row>
    <row r="132" spans="1:11">
      <c r="A132" s="22" t="str">
        <f>'Historical FY16-FY25'!A131</f>
        <v>Salem City</v>
      </c>
      <c r="B132" s="22" t="str">
        <f>'Historical FY16-FY25'!B131</f>
        <v>City</v>
      </c>
      <c r="C132" s="23">
        <f>'Historical FY16-FY25'!D131</f>
        <v>9820357</v>
      </c>
      <c r="D132" s="26">
        <f>'Projection FY26-FY45'!D131</f>
        <v>4.0785671565641279E-2</v>
      </c>
      <c r="E132" s="15">
        <f>$C132*(Assumptions!$B$28/Assumptions!$B$29)*(1+$D132)^2</f>
        <v>10637752.589647537</v>
      </c>
      <c r="F132" s="15">
        <f>$C132*(Assumptions!$B$28/Assumptions!$B$29)*(1+$D132)^10</f>
        <v>14646718.098538445</v>
      </c>
      <c r="G132" s="15">
        <f>$C132*(Assumptions!$B$28/Assumptions!$B$29)*(1+$D132)^20</f>
        <v>21845066.432722725</v>
      </c>
      <c r="H132" s="15">
        <f>IF($D132=0,$C132*(Assumptions!$B$28/Assumptions!$B$29)*20,$C132*(Assumptions!$B$28/Assumptions!$B$29)*(1+$D132)*((1+$D132)^20-1)/$D132)</f>
        <v>306851519.21982938</v>
      </c>
      <c r="I132" s="15">
        <f>H132/20</f>
        <v>15342575.960991468</v>
      </c>
      <c r="J132" s="10">
        <f>IFERROR(H132/$H$139,0)</f>
        <v>4.9999218160201812E-3</v>
      </c>
      <c r="K132" s="15">
        <f>'Projection FY26-FY45'!E131*0.01</f>
        <v>143954.44878767646</v>
      </c>
    </row>
    <row r="133" spans="1:11">
      <c r="A133" s="24" t="str">
        <f>'Historical FY16-FY25'!A132</f>
        <v>Staunton City</v>
      </c>
      <c r="B133" s="24" t="str">
        <f>'Historical FY16-FY25'!B132</f>
        <v>City</v>
      </c>
      <c r="C133" s="25">
        <f>'Historical FY16-FY25'!D132</f>
        <v>6102807</v>
      </c>
      <c r="D133" s="27">
        <f>'Projection FY26-FY45'!D132</f>
        <v>4.501122624874232E-2</v>
      </c>
      <c r="E133" s="18">
        <f>$C133*(Assumptions!$B$28/Assumptions!$B$29)*(1+$D133)^2</f>
        <v>6664561.0042495923</v>
      </c>
      <c r="F133" s="18">
        <f>$C133*(Assumptions!$B$28/Assumptions!$B$29)*(1+$D133)^10</f>
        <v>9478490.8549541682</v>
      </c>
      <c r="G133" s="18">
        <f>$C133*(Assumptions!$B$28/Assumptions!$B$29)*(1+$D133)^20</f>
        <v>14721387.860938383</v>
      </c>
      <c r="H133" s="18">
        <f>IF($D133=0,$C133*(Assumptions!$B$28/Assumptions!$B$29)*20,$C133*(Assumptions!$B$28/Assumptions!$B$29)*(1+$D133)*((1+$D133)^20-1)/$D133)</f>
        <v>200094831.99238139</v>
      </c>
      <c r="I133" s="18">
        <f>H133/20</f>
        <v>10004741.59961907</v>
      </c>
      <c r="J133" s="19">
        <f>IFERROR(H133/$H$139,0)</f>
        <v>3.2603994215028445E-3</v>
      </c>
      <c r="K133" s="18">
        <f>'Projection FY26-FY45'!E132*0.01</f>
        <v>105359.32764431875</v>
      </c>
    </row>
    <row r="134" spans="1:11">
      <c r="A134" s="22" t="str">
        <f>'Historical FY16-FY25'!A133</f>
        <v>Suffolk City</v>
      </c>
      <c r="B134" s="22" t="str">
        <f>'Historical FY16-FY25'!B133</f>
        <v>City</v>
      </c>
      <c r="C134" s="23">
        <f>'Historical FY16-FY25'!D133</f>
        <v>18926055</v>
      </c>
      <c r="D134" s="26">
        <f>'Projection FY26-FY45'!D133</f>
        <v>4.9346154532135866E-2</v>
      </c>
      <c r="E134" s="15">
        <f>$C134*(Assumptions!$B$28/Assumptions!$B$29)*(1+$D134)^2</f>
        <v>20839996.826550283</v>
      </c>
      <c r="F134" s="15">
        <f>$C134*(Assumptions!$B$28/Assumptions!$B$29)*(1+$D134)^10</f>
        <v>30637113.897607874</v>
      </c>
      <c r="G134" s="15">
        <f>$C134*(Assumptions!$B$28/Assumptions!$B$29)*(1+$D134)^20</f>
        <v>49594738.469004624</v>
      </c>
      <c r="H134" s="15">
        <f>IF($D134=0,$C134*(Assumptions!$B$28/Assumptions!$B$29)*20,$C134*(Assumptions!$B$28/Assumptions!$B$29)*(1+$D134)*((1+$D134)^20-1)/$D134)</f>
        <v>652169664.84805322</v>
      </c>
      <c r="I134" s="15">
        <f>H134/20</f>
        <v>32608483.242402662</v>
      </c>
      <c r="J134" s="10">
        <f>IFERROR(H134/$H$139,0)</f>
        <v>1.0626629267832649E-2</v>
      </c>
      <c r="K134" s="15">
        <f>'Projection FY26-FY45'!E133*0.01</f>
        <v>398094.53260139748</v>
      </c>
    </row>
    <row r="135" spans="1:11">
      <c r="A135" s="24" t="str">
        <f>'Historical FY16-FY25'!A134</f>
        <v>Virginia Beach City</v>
      </c>
      <c r="B135" s="24" t="str">
        <f>'Historical FY16-FY25'!B134</f>
        <v>City</v>
      </c>
      <c r="C135" s="25">
        <f>'Historical FY16-FY25'!D134</f>
        <v>96460222</v>
      </c>
      <c r="D135" s="27">
        <f>'Projection FY26-FY45'!D134</f>
        <v>4.3775248922717003E-2</v>
      </c>
      <c r="E135" s="18">
        <f>$C135*(Assumptions!$B$28/Assumptions!$B$29)*(1+$D135)^2</f>
        <v>105090206.52125755</v>
      </c>
      <c r="F135" s="18">
        <f>$C135*(Assumptions!$B$28/Assumptions!$B$29)*(1+$D135)^10</f>
        <v>148053336.53866026</v>
      </c>
      <c r="G135" s="18">
        <f>$C135*(Assumptions!$B$28/Assumptions!$B$29)*(1+$D135)^20</f>
        <v>227241758.37196174</v>
      </c>
      <c r="H135" s="18">
        <f>IF($D135=0,$C135*(Assumptions!$B$28/Assumptions!$B$29)*20,$C135*(Assumptions!$B$28/Assumptions!$B$29)*(1+$D135)*((1+$D135)^20-1)/$D135)</f>
        <v>3118349616.2896786</v>
      </c>
      <c r="I135" s="18">
        <f>H135/20</f>
        <v>155917480.81448394</v>
      </c>
      <c r="J135" s="19">
        <f>IFERROR(H135/$H$139,0)</f>
        <v>5.0811233772302504E-2</v>
      </c>
      <c r="K135" s="18">
        <f>'Projection FY26-FY45'!E134*0.01</f>
        <v>1855139.5972008707</v>
      </c>
    </row>
    <row r="136" spans="1:11">
      <c r="A136" s="22" t="str">
        <f>'Historical FY16-FY25'!A135</f>
        <v>Waynesboro City</v>
      </c>
      <c r="B136" s="22" t="str">
        <f>'Historical FY16-FY25'!B135</f>
        <v>City</v>
      </c>
      <c r="C136" s="23">
        <f>'Historical FY16-FY25'!D135</f>
        <v>7533491</v>
      </c>
      <c r="D136" s="26">
        <f>'Projection FY26-FY45'!D135</f>
        <v>4.0921895255456309E-2</v>
      </c>
      <c r="E136" s="15">
        <f>$C136*(Assumptions!$B$28/Assumptions!$B$29)*(1+$D136)^2</f>
        <v>8162676.0546338009</v>
      </c>
      <c r="F136" s="15">
        <f>$C136*(Assumptions!$B$28/Assumptions!$B$29)*(1+$D136)^10</f>
        <v>11250652.523358088</v>
      </c>
      <c r="G136" s="15">
        <f>$C136*(Assumptions!$B$28/Assumptions!$B$29)*(1+$D136)^20</f>
        <v>16801929.172191709</v>
      </c>
      <c r="H136" s="15">
        <f>IF($D136=0,$C136*(Assumptions!$B$28/Assumptions!$B$29)*20,$C136*(Assumptions!$B$28/Assumptions!$B$29)*(1+$D136)*((1+$D136)^20-1)/$D136)</f>
        <v>235759369.59980944</v>
      </c>
      <c r="I136" s="15">
        <f>H136/20</f>
        <v>11787968.479990471</v>
      </c>
      <c r="J136" s="10">
        <f>IFERROR(H136/$H$139,0)</f>
        <v>3.8415270629596323E-3</v>
      </c>
      <c r="K136" s="15">
        <f>'Projection FY26-FY45'!E135*0.01</f>
        <v>118311.85921396711</v>
      </c>
    </row>
    <row r="137" spans="1:11">
      <c r="A137" s="24" t="str">
        <f>'Historical FY16-FY25'!A136</f>
        <v>Williamsburg City</v>
      </c>
      <c r="B137" s="24" t="str">
        <f>'Historical FY16-FY25'!B136</f>
        <v>City</v>
      </c>
      <c r="C137" s="25">
        <f>'Historical FY16-FY25'!D136</f>
        <v>6012308</v>
      </c>
      <c r="D137" s="27">
        <f>'Projection FY26-FY45'!D136</f>
        <v>3.9631246908688689E-2</v>
      </c>
      <c r="E137" s="18">
        <f>$C137*(Assumptions!$B$28/Assumptions!$B$29)*(1+$D137)^2</f>
        <v>6498301.6714519756</v>
      </c>
      <c r="F137" s="18">
        <f>$C137*(Assumptions!$B$28/Assumptions!$B$29)*(1+$D137)^10</f>
        <v>8868179.2212416455</v>
      </c>
      <c r="G137" s="18">
        <f>$C137*(Assumptions!$B$28/Assumptions!$B$29)*(1+$D137)^20</f>
        <v>13080601.110266151</v>
      </c>
      <c r="H137" s="18">
        <f>IF($D137=0,$C137*(Assumptions!$B$28/Assumptions!$B$29)*20,$C137*(Assumptions!$B$28/Assumptions!$B$29)*(1+$D137)*((1+$D137)^20-1)/$D137)</f>
        <v>185419812.72184086</v>
      </c>
      <c r="I137" s="18">
        <f>H137/20</f>
        <v>9270990.6360920426</v>
      </c>
      <c r="J137" s="19">
        <f>IFERROR(H137/$H$139,0)</f>
        <v>3.0212806803349805E-3</v>
      </c>
      <c r="K137" s="18">
        <f>'Projection FY26-FY45'!E136*0.01</f>
        <v>77003.854237468913</v>
      </c>
    </row>
    <row r="138" spans="1:11">
      <c r="A138" s="22" t="str">
        <f>'Historical FY16-FY25'!A137</f>
        <v>Winchester City</v>
      </c>
      <c r="B138" s="22" t="str">
        <f>'Historical FY16-FY25'!B137</f>
        <v>City</v>
      </c>
      <c r="C138" s="23">
        <f>'Historical FY16-FY25'!D137</f>
        <v>13385081</v>
      </c>
      <c r="D138" s="26">
        <f>'Projection FY26-FY45'!D137</f>
        <v>4.271473332377107E-2</v>
      </c>
      <c r="E138" s="15">
        <f>$C138*(Assumptions!$B$28/Assumptions!$B$29)*(1+$D138)^2</f>
        <v>14552983.059561074</v>
      </c>
      <c r="F138" s="15">
        <f>$C138*(Assumptions!$B$28/Assumptions!$B$29)*(1+$D138)^10</f>
        <v>20336495.003214389</v>
      </c>
      <c r="G138" s="15">
        <f>$C138*(Assumptions!$B$28/Assumptions!$B$29)*(1+$D138)^20</f>
        <v>30898059.489947345</v>
      </c>
      <c r="H138" s="15">
        <f>IF($D138=0,$C138*(Assumptions!$B$28/Assumptions!$B$29)*20,$C138*(Assumptions!$B$28/Assumptions!$B$29)*(1+$D138)*((1+$D138)^20-1)/$D138)</f>
        <v>427511522.95472676</v>
      </c>
      <c r="I138" s="15">
        <f>H138/20</f>
        <v>21375576.147736337</v>
      </c>
      <c r="J138" s="10">
        <f>IFERROR(H138/$H$139,0)</f>
        <v>6.9659886177393235E-3</v>
      </c>
      <c r="K138" s="15">
        <f>'Projection FY26-FY45'!E137*0.01</f>
        <v>190401.79573438727</v>
      </c>
    </row>
    <row r="139" spans="1:11">
      <c r="A139" s="20" t="s">
        <v>228</v>
      </c>
      <c r="C139" s="21">
        <f>SUM(C6:C138)</f>
        <v>1876912593</v>
      </c>
      <c r="E139" s="21">
        <f>SUM(E6:E138)</f>
        <v>2048115568.0011492</v>
      </c>
      <c r="F139" s="21">
        <f>SUM(F6:F138)</f>
        <v>2906794381.8369899</v>
      </c>
      <c r="G139" s="21">
        <f>SUM(G6:G138)</f>
        <v>4512886017.6412849</v>
      </c>
      <c r="H139" s="21">
        <f>SUM(H6:H138)</f>
        <v>61371263493.891167</v>
      </c>
      <c r="I139" s="21">
        <f>SUM(I6:I138)</f>
        <v>3068563174.6945586</v>
      </c>
      <c r="J139" s="28">
        <f>SUM(J6:J138)</f>
        <v>1</v>
      </c>
      <c r="K139" s="21">
        <f>SUM(K6:K138)</f>
        <v>35948233.745025523</v>
      </c>
    </row>
    <row r="141" spans="1:11">
      <c r="A141" s="4" t="s">
        <v>244</v>
      </c>
    </row>
    <row r="142" spans="1:11">
      <c r="A142" s="4" t="s">
        <v>245</v>
      </c>
    </row>
    <row r="143" spans="1:11">
      <c r="A143" s="4" t="s">
        <v>246</v>
      </c>
    </row>
    <row r="144" spans="1:11">
      <c r="A144" s="4" t="s">
        <v>247</v>
      </c>
    </row>
    <row r="145" spans="1:1">
      <c r="A145" s="4" t="s">
        <v>248</v>
      </c>
    </row>
    <row r="146" spans="1:1">
      <c r="A146" s="4" t="s">
        <v>249</v>
      </c>
    </row>
  </sheetData>
  <autoFilter ref="A5:K138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"/>
  <sheetViews>
    <sheetView showGridLines="0" zoomScaleNormal="100" workbookViewId="0"/>
  </sheetViews>
  <sheetFormatPr defaultColWidth="8.7109375" defaultRowHeight="15"/>
  <cols>
    <col min="1" max="1" width="40" customWidth="1"/>
    <col min="2" max="2" width="16" customWidth="1"/>
    <col min="3" max="3" width="76" customWidth="1"/>
  </cols>
  <sheetData>
    <row r="1" spans="1:3" ht="17.45">
      <c r="A1" s="1" t="s">
        <v>250</v>
      </c>
    </row>
    <row r="2" spans="1:3">
      <c r="A2" s="4" t="s">
        <v>251</v>
      </c>
    </row>
    <row r="4" spans="1:3">
      <c r="A4" s="2" t="s">
        <v>252</v>
      </c>
    </row>
    <row r="5" spans="1:3">
      <c r="A5" s="29" t="s">
        <v>253</v>
      </c>
      <c r="B5" s="29" t="s">
        <v>254</v>
      </c>
      <c r="C5" s="29" t="s">
        <v>255</v>
      </c>
    </row>
    <row r="6" spans="1:3">
      <c r="A6" s="3" t="s">
        <v>256</v>
      </c>
      <c r="B6" s="12">
        <v>1</v>
      </c>
      <c r="C6" s="4" t="s">
        <v>257</v>
      </c>
    </row>
    <row r="7" spans="1:3">
      <c r="A7" s="3" t="s">
        <v>258</v>
      </c>
      <c r="B7" s="12">
        <v>0.8</v>
      </c>
      <c r="C7" s="4" t="s">
        <v>259</v>
      </c>
    </row>
    <row r="8" spans="1:3">
      <c r="A8" s="3" t="s">
        <v>260</v>
      </c>
      <c r="B8" s="12">
        <v>0.7</v>
      </c>
      <c r="C8" s="4" t="s">
        <v>261</v>
      </c>
    </row>
    <row r="9" spans="1:3">
      <c r="A9" s="3" t="s">
        <v>262</v>
      </c>
      <c r="B9" s="30">
        <f>IF($B$12="Yes",$B$13,1)</f>
        <v>0.35</v>
      </c>
      <c r="C9" s="4" t="s">
        <v>263</v>
      </c>
    </row>
    <row r="11" spans="1:3">
      <c r="A11" s="2" t="s">
        <v>264</v>
      </c>
    </row>
    <row r="12" spans="1:3">
      <c r="A12" s="3" t="s">
        <v>265</v>
      </c>
      <c r="B12" s="31" t="s">
        <v>266</v>
      </c>
      <c r="C12" s="4" t="s">
        <v>267</v>
      </c>
    </row>
    <row r="13" spans="1:3">
      <c r="A13" s="3" t="s">
        <v>268</v>
      </c>
      <c r="B13" s="12">
        <v>0.35</v>
      </c>
      <c r="C13" s="4" t="s">
        <v>269</v>
      </c>
    </row>
    <row r="14" spans="1:3">
      <c r="A14" s="3" t="s">
        <v>270</v>
      </c>
      <c r="B14" s="12">
        <v>0.38</v>
      </c>
      <c r="C14" s="4" t="s">
        <v>271</v>
      </c>
    </row>
    <row r="15" spans="1:3">
      <c r="A15" s="3" t="s">
        <v>272</v>
      </c>
      <c r="B15" s="32">
        <v>3000000</v>
      </c>
      <c r="C15" s="4" t="s">
        <v>273</v>
      </c>
    </row>
    <row r="16" spans="1:3">
      <c r="A16" s="3" t="s">
        <v>274</v>
      </c>
      <c r="B16" s="31" t="s">
        <v>275</v>
      </c>
      <c r="C16" s="4" t="s">
        <v>276</v>
      </c>
    </row>
    <row r="18" spans="1:3">
      <c r="A18" s="2" t="s">
        <v>277</v>
      </c>
    </row>
    <row r="19" spans="1:3">
      <c r="A19" s="60" t="s">
        <v>278</v>
      </c>
      <c r="B19" s="60"/>
      <c r="C19" s="60"/>
    </row>
    <row r="20" spans="1:3">
      <c r="A20" s="60" t="s">
        <v>279</v>
      </c>
      <c r="B20" s="60"/>
      <c r="C20" s="60"/>
    </row>
    <row r="21" spans="1:3">
      <c r="A21" s="60" t="s">
        <v>280</v>
      </c>
      <c r="B21" s="60"/>
      <c r="C21" s="60"/>
    </row>
    <row r="22" spans="1:3">
      <c r="A22" s="60" t="s">
        <v>281</v>
      </c>
      <c r="B22" s="60"/>
      <c r="C22" s="60"/>
    </row>
    <row r="23" spans="1:3">
      <c r="A23" s="60" t="s">
        <v>282</v>
      </c>
      <c r="B23" s="60"/>
      <c r="C23" s="60"/>
    </row>
    <row r="24" spans="1:3">
      <c r="A24" s="60" t="s">
        <v>283</v>
      </c>
      <c r="B24" s="60"/>
      <c r="C24" s="60"/>
    </row>
    <row r="26" spans="1:3">
      <c r="A26" s="2" t="s">
        <v>284</v>
      </c>
    </row>
    <row r="27" spans="1:3">
      <c r="A27" s="60" t="s">
        <v>285</v>
      </c>
      <c r="B27" s="60"/>
      <c r="C27" s="60"/>
    </row>
    <row r="28" spans="1:3">
      <c r="A28" s="60" t="s">
        <v>286</v>
      </c>
      <c r="B28" s="60"/>
      <c r="C28" s="60"/>
    </row>
    <row r="29" spans="1:3">
      <c r="A29" s="60" t="s">
        <v>287</v>
      </c>
      <c r="B29" s="60"/>
      <c r="C29" s="60"/>
    </row>
    <row r="30" spans="1:3">
      <c r="A30" s="60" t="s">
        <v>288</v>
      </c>
      <c r="B30" s="60"/>
      <c r="C30" s="60"/>
    </row>
  </sheetData>
  <mergeCells count="10">
    <mergeCell ref="A24:C24"/>
    <mergeCell ref="A27:C27"/>
    <mergeCell ref="A28:C28"/>
    <mergeCell ref="A29:C29"/>
    <mergeCell ref="A30:C30"/>
    <mergeCell ref="A19:C19"/>
    <mergeCell ref="A20:C20"/>
    <mergeCell ref="A21:C21"/>
    <mergeCell ref="A22:C22"/>
    <mergeCell ref="A23:C23"/>
  </mergeCells>
  <dataValidations count="2">
    <dataValidation type="list" sqref="B16" xr:uid="{00000000-0002-0000-0500-000000000000}">
      <formula1>"Counties,Cities,Both"</formula1>
      <formula2>0</formula2>
    </dataValidation>
    <dataValidation type="list" sqref="B12" xr:uid="{00000000-0002-0000-05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41"/>
  <sheetViews>
    <sheetView showGridLines="0" zoomScaleNormal="100" workbookViewId="0">
      <pane xSplit="2" ySplit="5" topLeftCell="C6" activePane="bottomRight" state="frozen"/>
      <selection pane="bottomRight"/>
      <selection pane="bottomLeft" activeCell="A6" sqref="A6"/>
      <selection pane="topRight" activeCell="C1" sqref="C1"/>
    </sheetView>
  </sheetViews>
  <sheetFormatPr defaultColWidth="8.7109375" defaultRowHeight="15"/>
  <cols>
    <col min="1" max="1" width="24" customWidth="1"/>
    <col min="2" max="2" width="9" customWidth="1"/>
    <col min="3" max="3" width="26" customWidth="1"/>
    <col min="4" max="4" width="22" customWidth="1"/>
    <col min="5" max="5" width="10" customWidth="1"/>
    <col min="6" max="6" width="16" customWidth="1"/>
    <col min="7" max="7" width="17" customWidth="1"/>
    <col min="8" max="9" width="13" customWidth="1"/>
    <col min="10" max="10" width="15" customWidth="1"/>
    <col min="11" max="11" width="8" customWidth="1"/>
    <col min="12" max="12" width="9" customWidth="1"/>
    <col min="13" max="13" width="15" customWidth="1"/>
    <col min="14" max="14" width="11" customWidth="1"/>
    <col min="15" max="15" width="12" customWidth="1"/>
  </cols>
  <sheetData>
    <row r="1" spans="1:15" ht="17.45">
      <c r="A1" s="1" t="s">
        <v>289</v>
      </c>
    </row>
    <row r="2" spans="1:15">
      <c r="A2" s="4" t="s">
        <v>290</v>
      </c>
    </row>
    <row r="3" spans="1:15">
      <c r="A3" s="4" t="s">
        <v>291</v>
      </c>
    </row>
    <row r="5" spans="1:15" ht="39.75" customHeight="1">
      <c r="A5" s="5" t="s">
        <v>83</v>
      </c>
      <c r="B5" s="5" t="s">
        <v>84</v>
      </c>
      <c r="C5" s="5" t="s">
        <v>292</v>
      </c>
      <c r="D5" s="5" t="s">
        <v>293</v>
      </c>
      <c r="E5" s="5" t="s">
        <v>294</v>
      </c>
      <c r="F5" s="5" t="s">
        <v>295</v>
      </c>
      <c r="G5" s="5" t="s">
        <v>296</v>
      </c>
      <c r="H5" s="5" t="s">
        <v>297</v>
      </c>
      <c r="I5" s="5" t="s">
        <v>298</v>
      </c>
      <c r="J5" s="5" t="s">
        <v>299</v>
      </c>
      <c r="K5" s="5" t="s">
        <v>300</v>
      </c>
      <c r="L5" s="5" t="s">
        <v>301</v>
      </c>
      <c r="M5" s="5" t="s">
        <v>302</v>
      </c>
      <c r="N5" s="5" t="s">
        <v>303</v>
      </c>
      <c r="O5" s="5" t="s">
        <v>304</v>
      </c>
    </row>
    <row r="6" spans="1:15">
      <c r="A6" s="22" t="str">
        <f>'Historical FY16-FY25'!A5</f>
        <v>Accomack County</v>
      </c>
      <c r="B6" s="22" t="str">
        <f>'Historical FY16-FY25'!B5</f>
        <v>County</v>
      </c>
      <c r="C6" s="3" t="s">
        <v>305</v>
      </c>
      <c r="D6" s="33" t="s">
        <v>260</v>
      </c>
      <c r="E6" s="3">
        <f>IF(OR('Opportunity Controls'!$B$16="Both",AND('Opportunity Controls'!$B$16="Counties",$B6="County"),AND('Opportunity Controls'!$B$16="Cities",$B6="City")),1,0)</f>
        <v>1</v>
      </c>
      <c r="F6" s="23">
        <f>'Schools 1pct Profile'!E6</f>
        <v>6888381.4066833332</v>
      </c>
      <c r="G6" s="23">
        <f>'Schools 1pct Profile'!H6</f>
        <v>196297323.66051728</v>
      </c>
      <c r="H6" s="34">
        <f>IFERROR(($G6/MAX($G$6:$G$138))^'Opportunity Controls'!$B$14*100,0)</f>
        <v>24.609716097356745</v>
      </c>
      <c r="I6" s="35">
        <f>IFERROR(INDEX('Opportunity Controls'!$B$6:$B$9,MATCH($D6,'Opportunity Controls'!$A$6:$A$9,0)),1)</f>
        <v>0.7</v>
      </c>
      <c r="J6" s="34">
        <f>IF($E6=0,"",$H6*$I6)</f>
        <v>17.226801268149721</v>
      </c>
      <c r="K6" s="36">
        <f>IF($E6=0,"",RANK($J6,$J$6:$J$138))</f>
        <v>38</v>
      </c>
      <c r="L6" s="36">
        <f>IF($E6=0,"",8-ROUNDUP($K6/COUNT($J$6:$J$138)*7,0))</f>
        <v>5</v>
      </c>
      <c r="M6" s="3" t="str">
        <f>IF($E6=0,"",IF($L6&gt;=6,"Priority 1",IF($L6&gt;=5,"Priority 2",IF($L6&gt;=3,"Watch","Low"))))</f>
        <v>Priority 2</v>
      </c>
      <c r="N6" s="37" t="str">
        <f>IF($E6=0,"",IF(AND($F6&gt;='Opportunity Controls'!$B$15,$L6&gt;=6),"YES",""))</f>
        <v/>
      </c>
      <c r="O6" s="34">
        <f>IF($E6=0,0,$H6*$I6)</f>
        <v>17.226801268149721</v>
      </c>
    </row>
    <row r="7" spans="1:15">
      <c r="A7" s="22" t="str">
        <f>'Historical FY16-FY25'!A6</f>
        <v>Albemarle County</v>
      </c>
      <c r="B7" s="22" t="str">
        <f>'Historical FY16-FY25'!B6</f>
        <v>County</v>
      </c>
      <c r="C7" s="3" t="s">
        <v>306</v>
      </c>
      <c r="D7" s="33" t="s">
        <v>260</v>
      </c>
      <c r="E7" s="3">
        <f>IF(OR('Opportunity Controls'!$B$16="Both",AND('Opportunity Controls'!$B$16="Counties",$B7="County"),AND('Opportunity Controls'!$B$16="Cities",$B7="City")),1,0)</f>
        <v>1</v>
      </c>
      <c r="F7" s="23">
        <f>'Schools 1pct Profile'!E7</f>
        <v>28874529.441360746</v>
      </c>
      <c r="G7" s="23">
        <f>'Schools 1pct Profile'!H7</f>
        <v>903172016.32576525</v>
      </c>
      <c r="H7" s="34">
        <f>IFERROR(($G7/MAX($G$6:$G$138))^'Opportunity Controls'!$B$14*100,0)</f>
        <v>43.953343746655946</v>
      </c>
      <c r="I7" s="35">
        <f>IFERROR(INDEX('Opportunity Controls'!$B$6:$B$9,MATCH($D7,'Opportunity Controls'!$A$6:$A$9,0)),1)</f>
        <v>0.7</v>
      </c>
      <c r="J7" s="34">
        <f>IF($E7=0,"",$H7*$I7)</f>
        <v>30.767340622659159</v>
      </c>
      <c r="K7" s="36">
        <f>IF($E7=0,"",RANK($J7,$J$6:$J$138))</f>
        <v>10</v>
      </c>
      <c r="L7" s="36">
        <f>IF($E7=0,"",8-ROUNDUP($K7/COUNT($J$6:$J$138)*7,0))</f>
        <v>7</v>
      </c>
      <c r="M7" s="3" t="str">
        <f>IF($E7=0,"",IF($L7&gt;=6,"Priority 1",IF($L7&gt;=5,"Priority 2",IF($L7&gt;=3,"Watch","Low"))))</f>
        <v>Priority 1</v>
      </c>
      <c r="N7" s="37" t="str">
        <f>IF($E7=0,"",IF(AND($F7&gt;='Opportunity Controls'!$B$15,$L7&gt;=6),"YES",""))</f>
        <v>YES</v>
      </c>
      <c r="O7" s="34">
        <f>IF($E7=0,0,$H7*$I7)</f>
        <v>30.767340622659159</v>
      </c>
    </row>
    <row r="8" spans="1:15">
      <c r="A8" s="22" t="str">
        <f>'Historical FY16-FY25'!A7</f>
        <v>Alleghany County</v>
      </c>
      <c r="B8" s="22" t="str">
        <f>'Historical FY16-FY25'!B7</f>
        <v>County</v>
      </c>
      <c r="C8" s="3" t="s">
        <v>307</v>
      </c>
      <c r="D8" s="33" t="s">
        <v>260</v>
      </c>
      <c r="E8" s="3">
        <f>IF(OR('Opportunity Controls'!$B$16="Both",AND('Opportunity Controls'!$B$16="Counties",$B8="County"),AND('Opportunity Controls'!$B$16="Cities",$B8="City")),1,0)</f>
        <v>1</v>
      </c>
      <c r="F8" s="23">
        <f>'Schools 1pct Profile'!E8</f>
        <v>1368536.0529732672</v>
      </c>
      <c r="G8" s="23">
        <f>'Schools 1pct Profile'!H8</f>
        <v>35851157.532620773</v>
      </c>
      <c r="H8" s="34">
        <f>IFERROR(($G8/MAX($G$6:$G$138))^'Opportunity Controls'!$B$14*100,0)</f>
        <v>12.897642922800545</v>
      </c>
      <c r="I8" s="35">
        <f>IFERROR(INDEX('Opportunity Controls'!$B$6:$B$9,MATCH($D8,'Opportunity Controls'!$A$6:$A$9,0)),1)</f>
        <v>0.7</v>
      </c>
      <c r="J8" s="34">
        <f>IF($E8=0,"",$H8*$I8)</f>
        <v>9.02835004596038</v>
      </c>
      <c r="K8" s="36">
        <f>IF($E8=0,"",RANK($J8,$J$6:$J$138))</f>
        <v>80</v>
      </c>
      <c r="L8" s="36">
        <f>IF($E8=0,"",8-ROUNDUP($K8/COUNT($J$6:$J$138)*7,0))</f>
        <v>2</v>
      </c>
      <c r="M8" s="3" t="str">
        <f>IF($E8=0,"",IF($L8&gt;=6,"Priority 1",IF($L8&gt;=5,"Priority 2",IF($L8&gt;=3,"Watch","Low"))))</f>
        <v>Low</v>
      </c>
      <c r="N8" s="37" t="str">
        <f>IF($E8=0,"",IF(AND($F8&gt;='Opportunity Controls'!$B$15,$L8&gt;=6),"YES",""))</f>
        <v/>
      </c>
      <c r="O8" s="34">
        <f>IF($E8=0,0,$H8*$I8)</f>
        <v>9.02835004596038</v>
      </c>
    </row>
    <row r="9" spans="1:15">
      <c r="A9" s="22" t="str">
        <f>'Historical FY16-FY25'!A8</f>
        <v>Amelia County</v>
      </c>
      <c r="B9" s="22" t="str">
        <f>'Historical FY16-FY25'!B8</f>
        <v>County</v>
      </c>
      <c r="C9" s="3" t="s">
        <v>308</v>
      </c>
      <c r="D9" s="33" t="s">
        <v>260</v>
      </c>
      <c r="E9" s="3">
        <f>IF(OR('Opportunity Controls'!$B$16="Both",AND('Opportunity Controls'!$B$16="Counties",$B9="County"),AND('Opportunity Controls'!$B$16="Cities",$B9="City")),1,0)</f>
        <v>1</v>
      </c>
      <c r="F9" s="23">
        <f>'Schools 1pct Profile'!E9</f>
        <v>1663744.1590432413</v>
      </c>
      <c r="G9" s="23">
        <f>'Schools 1pct Profile'!H9</f>
        <v>50578821.693287946</v>
      </c>
      <c r="H9" s="34">
        <f>IFERROR(($G9/MAX($G$6:$G$138))^'Opportunity Controls'!$B$14*100,0)</f>
        <v>14.69965861188372</v>
      </c>
      <c r="I9" s="35">
        <f>IFERROR(INDEX('Opportunity Controls'!$B$6:$B$9,MATCH($D9,'Opportunity Controls'!$A$6:$A$9,0)),1)</f>
        <v>0.7</v>
      </c>
      <c r="J9" s="34">
        <f>IF($E9=0,"",$H9*$I9)</f>
        <v>10.289761028318603</v>
      </c>
      <c r="K9" s="36">
        <f>IF($E9=0,"",RANK($J9,$J$6:$J$138))</f>
        <v>69</v>
      </c>
      <c r="L9" s="36">
        <f>IF($E9=0,"",8-ROUNDUP($K9/COUNT($J$6:$J$138)*7,0))</f>
        <v>2</v>
      </c>
      <c r="M9" s="3" t="str">
        <f>IF($E9=0,"",IF($L9&gt;=6,"Priority 1",IF($L9&gt;=5,"Priority 2",IF($L9&gt;=3,"Watch","Low"))))</f>
        <v>Low</v>
      </c>
      <c r="N9" s="37" t="str">
        <f>IF($E9=0,"",IF(AND($F9&gt;='Opportunity Controls'!$B$15,$L9&gt;=6),"YES",""))</f>
        <v/>
      </c>
      <c r="O9" s="34">
        <f>IF($E9=0,0,$H9*$I9)</f>
        <v>10.289761028318603</v>
      </c>
    </row>
    <row r="10" spans="1:15">
      <c r="A10" s="22" t="str">
        <f>'Historical FY16-FY25'!A9</f>
        <v>Amherst County</v>
      </c>
      <c r="B10" s="22" t="str">
        <f>'Historical FY16-FY25'!B9</f>
        <v>County</v>
      </c>
      <c r="C10" s="3" t="s">
        <v>309</v>
      </c>
      <c r="D10" s="33" t="s">
        <v>258</v>
      </c>
      <c r="E10" s="3">
        <f>IF(OR('Opportunity Controls'!$B$16="Both",AND('Opportunity Controls'!$B$16="Counties",$B10="County"),AND('Opportunity Controls'!$B$16="Cities",$B10="City")),1,0)</f>
        <v>1</v>
      </c>
      <c r="F10" s="23">
        <f>'Schools 1pct Profile'!E10</f>
        <v>5156295.1497355439</v>
      </c>
      <c r="G10" s="23">
        <f>'Schools 1pct Profile'!H10</f>
        <v>153989207.60070539</v>
      </c>
      <c r="H10" s="34">
        <f>IFERROR(($G10/MAX($G$6:$G$138))^'Opportunity Controls'!$B$14*100,0)</f>
        <v>22.441167526155819</v>
      </c>
      <c r="I10" s="35">
        <f>IFERROR(INDEX('Opportunity Controls'!$B$6:$B$9,MATCH($D10,'Opportunity Controls'!$A$6:$A$9,0)),1)</f>
        <v>0.8</v>
      </c>
      <c r="J10" s="34">
        <f>IF($E10=0,"",$H10*$I10)</f>
        <v>17.952934020924655</v>
      </c>
      <c r="K10" s="36">
        <f>IF($E10=0,"",RANK($J10,$J$6:$J$138))</f>
        <v>37</v>
      </c>
      <c r="L10" s="36">
        <f>IF($E10=0,"",8-ROUNDUP($K10/COUNT($J$6:$J$138)*7,0))</f>
        <v>5</v>
      </c>
      <c r="M10" s="3" t="str">
        <f>IF($E10=0,"",IF($L10&gt;=6,"Priority 1",IF($L10&gt;=5,"Priority 2",IF($L10&gt;=3,"Watch","Low"))))</f>
        <v>Priority 2</v>
      </c>
      <c r="N10" s="37" t="str">
        <f>IF($E10=0,"",IF(AND($F10&gt;='Opportunity Controls'!$B$15,$L10&gt;=6),"YES",""))</f>
        <v/>
      </c>
      <c r="O10" s="34">
        <f>IF($E10=0,0,$H10*$I10)</f>
        <v>17.952934020924655</v>
      </c>
    </row>
    <row r="11" spans="1:15">
      <c r="A11" s="22" t="str">
        <f>'Historical FY16-FY25'!A10</f>
        <v>Appomattox County</v>
      </c>
      <c r="B11" s="22" t="str">
        <f>'Historical FY16-FY25'!B10</f>
        <v>County</v>
      </c>
      <c r="C11" s="3" t="s">
        <v>309</v>
      </c>
      <c r="D11" s="33" t="s">
        <v>260</v>
      </c>
      <c r="E11" s="3">
        <f>IF(OR('Opportunity Controls'!$B$16="Both",AND('Opportunity Controls'!$B$16="Counties",$B11="County"),AND('Opportunity Controls'!$B$16="Cities",$B11="City")),1,0)</f>
        <v>1</v>
      </c>
      <c r="F11" s="23">
        <f>'Schools 1pct Profile'!E11</f>
        <v>2407487.1742085614</v>
      </c>
      <c r="G11" s="23">
        <f>'Schools 1pct Profile'!H11</f>
        <v>74351620.347939163</v>
      </c>
      <c r="H11" s="34">
        <f>IFERROR(($G11/MAX($G$6:$G$138))^'Opportunity Controls'!$B$14*100,0)</f>
        <v>17.017254975594433</v>
      </c>
      <c r="I11" s="35">
        <f>IFERROR(INDEX('Opportunity Controls'!$B$6:$B$9,MATCH($D11,'Opportunity Controls'!$A$6:$A$9,0)),1)</f>
        <v>0.7</v>
      </c>
      <c r="J11" s="34">
        <f>IF($E11=0,"",$H11*$I11)</f>
        <v>11.912078482916103</v>
      </c>
      <c r="K11" s="36">
        <f>IF($E11=0,"",RANK($J11,$J$6:$J$138))</f>
        <v>61</v>
      </c>
      <c r="L11" s="36">
        <f>IF($E11=0,"",8-ROUNDUP($K11/COUNT($J$6:$J$138)*7,0))</f>
        <v>3</v>
      </c>
      <c r="M11" s="3" t="str">
        <f>IF($E11=0,"",IF($L11&gt;=6,"Priority 1",IF($L11&gt;=5,"Priority 2",IF($L11&gt;=3,"Watch","Low"))))</f>
        <v>Watch</v>
      </c>
      <c r="N11" s="37" t="str">
        <f>IF($E11=0,"",IF(AND($F11&gt;='Opportunity Controls'!$B$15,$L11&gt;=6),"YES",""))</f>
        <v/>
      </c>
      <c r="O11" s="34">
        <f>IF($E11=0,0,$H11*$I11)</f>
        <v>11.912078482916103</v>
      </c>
    </row>
    <row r="12" spans="1:15">
      <c r="A12" s="22" t="str">
        <f>'Historical FY16-FY25'!A11</f>
        <v>Arlington County</v>
      </c>
      <c r="B12" s="22" t="str">
        <f>'Historical FY16-FY25'!B11</f>
        <v>County</v>
      </c>
      <c r="C12" s="3" t="s">
        <v>310</v>
      </c>
      <c r="D12" s="33" t="s">
        <v>258</v>
      </c>
      <c r="E12" s="3">
        <f>IF(OR('Opportunity Controls'!$B$16="Both",AND('Opportunity Controls'!$B$16="Counties",$B12="County"),AND('Opportunity Controls'!$B$16="Cities",$B12="City")),1,0)</f>
        <v>1</v>
      </c>
      <c r="F12" s="23">
        <f>'Schools 1pct Profile'!E12</f>
        <v>59799661.761441618</v>
      </c>
      <c r="G12" s="23">
        <f>'Schools 1pct Profile'!H12</f>
        <v>1735133152.8631141</v>
      </c>
      <c r="H12" s="34">
        <f>IFERROR(($G12/MAX($G$6:$G$138))^'Opportunity Controls'!$B$14*100,0)</f>
        <v>56.330759499680852</v>
      </c>
      <c r="I12" s="35">
        <f>IFERROR(INDEX('Opportunity Controls'!$B$6:$B$9,MATCH($D12,'Opportunity Controls'!$A$6:$A$9,0)),1)</f>
        <v>0.8</v>
      </c>
      <c r="J12" s="34">
        <f>IF($E12=0,"",$H12*$I12)</f>
        <v>45.064607599744683</v>
      </c>
      <c r="K12" s="36">
        <f>IF($E12=0,"",RANK($J12,$J$6:$J$138))</f>
        <v>6</v>
      </c>
      <c r="L12" s="36">
        <f>IF($E12=0,"",8-ROUNDUP($K12/COUNT($J$6:$J$138)*7,0))</f>
        <v>7</v>
      </c>
      <c r="M12" s="3" t="str">
        <f>IF($E12=0,"",IF($L12&gt;=6,"Priority 1",IF($L12&gt;=5,"Priority 2",IF($L12&gt;=3,"Watch","Low"))))</f>
        <v>Priority 1</v>
      </c>
      <c r="N12" s="37" t="str">
        <f>IF($E12=0,"",IF(AND($F12&gt;='Opportunity Controls'!$B$15,$L12&gt;=6),"YES",""))</f>
        <v>YES</v>
      </c>
      <c r="O12" s="34">
        <f>IF($E12=0,0,$H12*$I12)</f>
        <v>45.064607599744683</v>
      </c>
    </row>
    <row r="13" spans="1:15">
      <c r="A13" s="22" t="str">
        <f>'Historical FY16-FY25'!A12</f>
        <v>Augusta County</v>
      </c>
      <c r="B13" s="22" t="str">
        <f>'Historical FY16-FY25'!B12</f>
        <v>County</v>
      </c>
      <c r="C13" s="3" t="s">
        <v>307</v>
      </c>
      <c r="D13" s="33" t="s">
        <v>260</v>
      </c>
      <c r="E13" s="3">
        <f>IF(OR('Opportunity Controls'!$B$16="Both",AND('Opportunity Controls'!$B$16="Counties",$B13="County"),AND('Opportunity Controls'!$B$16="Cities",$B13="City")),1,0)</f>
        <v>1</v>
      </c>
      <c r="F13" s="23">
        <f>'Schools 1pct Profile'!E13</f>
        <v>10946274.887089394</v>
      </c>
      <c r="G13" s="23">
        <f>'Schools 1pct Profile'!H13</f>
        <v>333532485.76545388</v>
      </c>
      <c r="H13" s="34">
        <f>IFERROR(($G13/MAX($G$6:$G$138))^'Opportunity Controls'!$B$14*100,0)</f>
        <v>30.101742276052018</v>
      </c>
      <c r="I13" s="35">
        <f>IFERROR(INDEX('Opportunity Controls'!$B$6:$B$9,MATCH($D13,'Opportunity Controls'!$A$6:$A$9,0)),1)</f>
        <v>0.7</v>
      </c>
      <c r="J13" s="34">
        <f>IF($E13=0,"",$H13*$I13)</f>
        <v>21.07121959323641</v>
      </c>
      <c r="K13" s="36">
        <f>IF($E13=0,"",RANK($J13,$J$6:$J$138))</f>
        <v>28</v>
      </c>
      <c r="L13" s="36">
        <f>IF($E13=0,"",8-ROUNDUP($K13/COUNT($J$6:$J$138)*7,0))</f>
        <v>5</v>
      </c>
      <c r="M13" s="3" t="str">
        <f>IF($E13=0,"",IF($L13&gt;=6,"Priority 1",IF($L13&gt;=5,"Priority 2",IF($L13&gt;=3,"Watch","Low"))))</f>
        <v>Priority 2</v>
      </c>
      <c r="N13" s="37" t="str">
        <f>IF($E13=0,"",IF(AND($F13&gt;='Opportunity Controls'!$B$15,$L13&gt;=6),"YES",""))</f>
        <v/>
      </c>
      <c r="O13" s="34">
        <f>IF($E13=0,0,$H13*$I13)</f>
        <v>21.07121959323641</v>
      </c>
    </row>
    <row r="14" spans="1:15">
      <c r="A14" s="22" t="str">
        <f>'Historical FY16-FY25'!A13</f>
        <v>Bath County</v>
      </c>
      <c r="B14" s="22" t="str">
        <f>'Historical FY16-FY25'!B13</f>
        <v>County</v>
      </c>
      <c r="C14" s="3" t="s">
        <v>307</v>
      </c>
      <c r="D14" s="33" t="s">
        <v>260</v>
      </c>
      <c r="E14" s="3">
        <f>IF(OR('Opportunity Controls'!$B$16="Both",AND('Opportunity Controls'!$B$16="Counties",$B14="County"),AND('Opportunity Controls'!$B$16="Cities",$B14="City")),1,0)</f>
        <v>1</v>
      </c>
      <c r="F14" s="23">
        <f>'Schools 1pct Profile'!E14</f>
        <v>1443091.5630992991</v>
      </c>
      <c r="G14" s="23">
        <f>'Schools 1pct Profile'!H14</f>
        <v>44812188.82103619</v>
      </c>
      <c r="H14" s="34">
        <f>IFERROR(($G14/MAX($G$6:$G$138))^'Opportunity Controls'!$B$14*100,0)</f>
        <v>14.038790061761821</v>
      </c>
      <c r="I14" s="35">
        <f>IFERROR(INDEX('Opportunity Controls'!$B$6:$B$9,MATCH($D14,'Opportunity Controls'!$A$6:$A$9,0)),1)</f>
        <v>0.7</v>
      </c>
      <c r="J14" s="34">
        <f>IF($E14=0,"",$H14*$I14)</f>
        <v>9.8271530432332739</v>
      </c>
      <c r="K14" s="36">
        <f>IF($E14=0,"",RANK($J14,$J$6:$J$138))</f>
        <v>74</v>
      </c>
      <c r="L14" s="36">
        <f>IF($E14=0,"",8-ROUNDUP($K14/COUNT($J$6:$J$138)*7,0))</f>
        <v>2</v>
      </c>
      <c r="M14" s="3" t="str">
        <f>IF($E14=0,"",IF($L14&gt;=6,"Priority 1",IF($L14&gt;=5,"Priority 2",IF($L14&gt;=3,"Watch","Low"))))</f>
        <v>Low</v>
      </c>
      <c r="N14" s="37" t="str">
        <f>IF($E14=0,"",IF(AND($F14&gt;='Opportunity Controls'!$B$15,$L14&gt;=6),"YES",""))</f>
        <v/>
      </c>
      <c r="O14" s="34">
        <f>IF($E14=0,0,$H14*$I14)</f>
        <v>9.8271530432332739</v>
      </c>
    </row>
    <row r="15" spans="1:15">
      <c r="A15" s="22" t="str">
        <f>'Historical FY16-FY25'!A14</f>
        <v>Bedford County</v>
      </c>
      <c r="B15" s="22" t="str">
        <f>'Historical FY16-FY25'!B14</f>
        <v>County</v>
      </c>
      <c r="C15" s="3" t="s">
        <v>309</v>
      </c>
      <c r="D15" s="33" t="s">
        <v>260</v>
      </c>
      <c r="E15" s="3">
        <f>IF(OR('Opportunity Controls'!$B$16="Both",AND('Opportunity Controls'!$B$16="Counties",$B15="County"),AND('Opportunity Controls'!$B$16="Cities",$B15="City")),1,0)</f>
        <v>1</v>
      </c>
      <c r="F15" s="23">
        <f>'Schools 1pct Profile'!E15</f>
        <v>11900161.715659292</v>
      </c>
      <c r="G15" s="23">
        <f>'Schools 1pct Profile'!H15</f>
        <v>359440693.33183873</v>
      </c>
      <c r="H15" s="34">
        <f>IFERROR(($G15/MAX($G$6:$G$138))^'Opportunity Controls'!$B$14*100,0)</f>
        <v>30.969735217595694</v>
      </c>
      <c r="I15" s="35">
        <f>IFERROR(INDEX('Opportunity Controls'!$B$6:$B$9,MATCH($D15,'Opportunity Controls'!$A$6:$A$9,0)),1)</f>
        <v>0.7</v>
      </c>
      <c r="J15" s="34">
        <f>IF($E15=0,"",$H15*$I15)</f>
        <v>21.678814652316984</v>
      </c>
      <c r="K15" s="36">
        <f>IF($E15=0,"",RANK($J15,$J$6:$J$138))</f>
        <v>27</v>
      </c>
      <c r="L15" s="36">
        <f>IF($E15=0,"",8-ROUNDUP($K15/COUNT($J$6:$J$138)*7,0))</f>
        <v>6</v>
      </c>
      <c r="M15" s="3" t="str">
        <f>IF($E15=0,"",IF($L15&gt;=6,"Priority 1",IF($L15&gt;=5,"Priority 2",IF($L15&gt;=3,"Watch","Low"))))</f>
        <v>Priority 1</v>
      </c>
      <c r="N15" s="37" t="str">
        <f>IF($E15=0,"",IF(AND($F15&gt;='Opportunity Controls'!$B$15,$L15&gt;=6),"YES",""))</f>
        <v>YES</v>
      </c>
      <c r="O15" s="34">
        <f>IF($E15=0,0,$H15*$I15)</f>
        <v>21.678814652316984</v>
      </c>
    </row>
    <row r="16" spans="1:15">
      <c r="A16" s="22" t="str">
        <f>'Historical FY16-FY25'!A15</f>
        <v>Bland County</v>
      </c>
      <c r="B16" s="22" t="str">
        <f>'Historical FY16-FY25'!B15</f>
        <v>County</v>
      </c>
      <c r="C16" s="3" t="s">
        <v>311</v>
      </c>
      <c r="D16" s="33" t="s">
        <v>260</v>
      </c>
      <c r="E16" s="3">
        <f>IF(OR('Opportunity Controls'!$B$16="Both",AND('Opportunity Controls'!$B$16="Counties",$B16="County"),AND('Opportunity Controls'!$B$16="Cities",$B16="City")),1,0)</f>
        <v>1</v>
      </c>
      <c r="F16" s="23">
        <f>'Schools 1pct Profile'!E16</f>
        <v>652438.21811412333</v>
      </c>
      <c r="G16" s="23">
        <f>'Schools 1pct Profile'!H16</f>
        <v>18004006.431871071</v>
      </c>
      <c r="H16" s="34">
        <f>IFERROR(($G16/MAX($G$6:$G$138))^'Opportunity Controls'!$B$14*100,0)</f>
        <v>9.9274891343738876</v>
      </c>
      <c r="I16" s="35">
        <f>IFERROR(INDEX('Opportunity Controls'!$B$6:$B$9,MATCH($D16,'Opportunity Controls'!$A$6:$A$9,0)),1)</f>
        <v>0.7</v>
      </c>
      <c r="J16" s="34">
        <f>IF($E16=0,"",$H16*$I16)</f>
        <v>6.949242394061721</v>
      </c>
      <c r="K16" s="36">
        <f>IF($E16=0,"",RANK($J16,$J$6:$J$138))</f>
        <v>90</v>
      </c>
      <c r="L16" s="36">
        <f>IF($E16=0,"",8-ROUNDUP($K16/COUNT($J$6:$J$138)*7,0))</f>
        <v>1</v>
      </c>
      <c r="M16" s="3" t="str">
        <f>IF($E16=0,"",IF($L16&gt;=6,"Priority 1",IF($L16&gt;=5,"Priority 2",IF($L16&gt;=3,"Watch","Low"))))</f>
        <v>Low</v>
      </c>
      <c r="N16" s="37" t="str">
        <f>IF($E16=0,"",IF(AND($F16&gt;='Opportunity Controls'!$B$15,$L16&gt;=6),"YES",""))</f>
        <v/>
      </c>
      <c r="O16" s="34">
        <f>IF($E16=0,0,$H16*$I16)</f>
        <v>6.949242394061721</v>
      </c>
    </row>
    <row r="17" spans="1:15">
      <c r="A17" s="22" t="str">
        <f>'Historical FY16-FY25'!A16</f>
        <v>Botetourt County</v>
      </c>
      <c r="B17" s="22" t="str">
        <f>'Historical FY16-FY25'!B16</f>
        <v>County</v>
      </c>
      <c r="C17" s="3" t="s">
        <v>307</v>
      </c>
      <c r="D17" s="33" t="s">
        <v>260</v>
      </c>
      <c r="E17" s="3">
        <f>IF(OR('Opportunity Controls'!$B$16="Both",AND('Opportunity Controls'!$B$16="Counties",$B17="County"),AND('Opportunity Controls'!$B$16="Cities",$B17="City")),1,0)</f>
        <v>1</v>
      </c>
      <c r="F17" s="23">
        <f>'Schools 1pct Profile'!E17</f>
        <v>5151294.1546494411</v>
      </c>
      <c r="G17" s="23">
        <f>'Schools 1pct Profile'!H17</f>
        <v>151067838.365576</v>
      </c>
      <c r="H17" s="34">
        <f>IFERROR(($G17/MAX($G$6:$G$138))^'Opportunity Controls'!$B$14*100,0)</f>
        <v>22.278426070884365</v>
      </c>
      <c r="I17" s="35">
        <f>IFERROR(INDEX('Opportunity Controls'!$B$6:$B$9,MATCH($D17,'Opportunity Controls'!$A$6:$A$9,0)),1)</f>
        <v>0.7</v>
      </c>
      <c r="J17" s="34">
        <f>IF($E17=0,"",$H17*$I17)</f>
        <v>15.594898249619055</v>
      </c>
      <c r="K17" s="36">
        <f>IF($E17=0,"",RANK($J17,$J$6:$J$138))</f>
        <v>46</v>
      </c>
      <c r="L17" s="36">
        <f>IF($E17=0,"",8-ROUNDUP($K17/COUNT($J$6:$J$138)*7,0))</f>
        <v>4</v>
      </c>
      <c r="M17" s="3" t="str">
        <f>IF($E17=0,"",IF($L17&gt;=6,"Priority 1",IF($L17&gt;=5,"Priority 2",IF($L17&gt;=3,"Watch","Low"))))</f>
        <v>Watch</v>
      </c>
      <c r="N17" s="37" t="str">
        <f>IF($E17=0,"",IF(AND($F17&gt;='Opportunity Controls'!$B$15,$L17&gt;=6),"YES",""))</f>
        <v/>
      </c>
      <c r="O17" s="34">
        <f>IF($E17=0,0,$H17*$I17)</f>
        <v>15.594898249619055</v>
      </c>
    </row>
    <row r="18" spans="1:15">
      <c r="A18" s="22" t="str">
        <f>'Historical FY16-FY25'!A17</f>
        <v>Brunswick County</v>
      </c>
      <c r="B18" s="22" t="str">
        <f>'Historical FY16-FY25'!B17</f>
        <v>County</v>
      </c>
      <c r="C18" s="3" t="s">
        <v>312</v>
      </c>
      <c r="D18" s="33" t="s">
        <v>260</v>
      </c>
      <c r="E18" s="3">
        <f>IF(OR('Opportunity Controls'!$B$16="Both",AND('Opportunity Controls'!$B$16="Counties",$B18="County"),AND('Opportunity Controls'!$B$16="Cities",$B18="City")),1,0)</f>
        <v>1</v>
      </c>
      <c r="F18" s="23">
        <f>'Schools 1pct Profile'!E18</f>
        <v>1338577.1344858331</v>
      </c>
      <c r="G18" s="23">
        <f>'Schools 1pct Profile'!H18</f>
        <v>37848918.853466101</v>
      </c>
      <c r="H18" s="34">
        <f>IFERROR(($G18/MAX($G$6:$G$138))^'Opportunity Controls'!$B$14*100,0)</f>
        <v>13.166170099910394</v>
      </c>
      <c r="I18" s="35">
        <f>IFERROR(INDEX('Opportunity Controls'!$B$6:$B$9,MATCH($D18,'Opportunity Controls'!$A$6:$A$9,0)),1)</f>
        <v>0.7</v>
      </c>
      <c r="J18" s="34">
        <f>IF($E18=0,"",$H18*$I18)</f>
        <v>9.2163190699372759</v>
      </c>
      <c r="K18" s="36">
        <f>IF($E18=0,"",RANK($J18,$J$6:$J$138))</f>
        <v>78</v>
      </c>
      <c r="L18" s="36">
        <f>IF($E18=0,"",8-ROUNDUP($K18/COUNT($J$6:$J$138)*7,0))</f>
        <v>2</v>
      </c>
      <c r="M18" s="3" t="str">
        <f>IF($E18=0,"",IF($L18&gt;=6,"Priority 1",IF($L18&gt;=5,"Priority 2",IF($L18&gt;=3,"Watch","Low"))))</f>
        <v>Low</v>
      </c>
      <c r="N18" s="37" t="str">
        <f>IF($E18=0,"",IF(AND($F18&gt;='Opportunity Controls'!$B$15,$L18&gt;=6),"YES",""))</f>
        <v/>
      </c>
      <c r="O18" s="34">
        <f>IF($E18=0,0,$H18*$I18)</f>
        <v>9.2163190699372759</v>
      </c>
    </row>
    <row r="19" spans="1:15">
      <c r="A19" s="22" t="str">
        <f>'Historical FY16-FY25'!A18</f>
        <v>Buchanan County</v>
      </c>
      <c r="B19" s="22" t="str">
        <f>'Historical FY16-FY25'!B18</f>
        <v>County</v>
      </c>
      <c r="C19" s="3" t="s">
        <v>311</v>
      </c>
      <c r="D19" s="33" t="s">
        <v>258</v>
      </c>
      <c r="E19" s="3">
        <f>IF(OR('Opportunity Controls'!$B$16="Both",AND('Opportunity Controls'!$B$16="Counties",$B19="County"),AND('Opportunity Controls'!$B$16="Cities",$B19="City")),1,0)</f>
        <v>1</v>
      </c>
      <c r="F19" s="23">
        <f>'Schools 1pct Profile'!E19</f>
        <v>2407004.6895995485</v>
      </c>
      <c r="G19" s="23">
        <f>'Schools 1pct Profile'!H19</f>
        <v>61764926.505962327</v>
      </c>
      <c r="H19" s="34">
        <f>IFERROR(($G19/MAX($G$6:$G$138))^'Opportunity Controls'!$B$14*100,0)</f>
        <v>15.859192580263311</v>
      </c>
      <c r="I19" s="35">
        <f>IFERROR(INDEX('Opportunity Controls'!$B$6:$B$9,MATCH($D19,'Opportunity Controls'!$A$6:$A$9,0)),1)</f>
        <v>0.8</v>
      </c>
      <c r="J19" s="34">
        <f>IF($E19=0,"",$H19*$I19)</f>
        <v>12.68735406421065</v>
      </c>
      <c r="K19" s="36">
        <f>IF($E19=0,"",RANK($J19,$J$6:$J$138))</f>
        <v>57</v>
      </c>
      <c r="L19" s="36">
        <f>IF($E19=0,"",8-ROUNDUP($K19/COUNT($J$6:$J$138)*7,0))</f>
        <v>3</v>
      </c>
      <c r="M19" s="3" t="str">
        <f>IF($E19=0,"",IF($L19&gt;=6,"Priority 1",IF($L19&gt;=5,"Priority 2",IF($L19&gt;=3,"Watch","Low"))))</f>
        <v>Watch</v>
      </c>
      <c r="N19" s="37" t="str">
        <f>IF($E19=0,"",IF(AND($F19&gt;='Opportunity Controls'!$B$15,$L19&gt;=6),"YES",""))</f>
        <v/>
      </c>
      <c r="O19" s="34">
        <f>IF($E19=0,0,$H19*$I19)</f>
        <v>12.68735406421065</v>
      </c>
    </row>
    <row r="20" spans="1:15">
      <c r="A20" s="22" t="str">
        <f>'Historical FY16-FY25'!A19</f>
        <v>Buckingham County</v>
      </c>
      <c r="B20" s="22" t="str">
        <f>'Historical FY16-FY25'!B19</f>
        <v>County</v>
      </c>
      <c r="C20" s="3" t="s">
        <v>309</v>
      </c>
      <c r="D20" s="33" t="s">
        <v>260</v>
      </c>
      <c r="E20" s="3">
        <f>IF(OR('Opportunity Controls'!$B$16="Both",AND('Opportunity Controls'!$B$16="Counties",$B20="County"),AND('Opportunity Controls'!$B$16="Cities",$B20="City")),1,0)</f>
        <v>1</v>
      </c>
      <c r="F20" s="23">
        <f>'Schools 1pct Profile'!E20</f>
        <v>1376346.0151766785</v>
      </c>
      <c r="G20" s="23">
        <f>'Schools 1pct Profile'!H20</f>
        <v>38350565.297680184</v>
      </c>
      <c r="H20" s="34">
        <f>IFERROR(($G20/MAX($G$6:$G$138))^'Opportunity Controls'!$B$14*100,0)</f>
        <v>13.232210844854226</v>
      </c>
      <c r="I20" s="35">
        <f>IFERROR(INDEX('Opportunity Controls'!$B$6:$B$9,MATCH($D20,'Opportunity Controls'!$A$6:$A$9,0)),1)</f>
        <v>0.7</v>
      </c>
      <c r="J20" s="34">
        <f>IF($E20=0,"",$H20*$I20)</f>
        <v>9.2625475913979578</v>
      </c>
      <c r="K20" s="36">
        <f>IF($E20=0,"",RANK($J20,$J$6:$J$138))</f>
        <v>77</v>
      </c>
      <c r="L20" s="36">
        <f>IF($E20=0,"",8-ROUNDUP($K20/COUNT($J$6:$J$138)*7,0))</f>
        <v>2</v>
      </c>
      <c r="M20" s="3" t="str">
        <f>IF($E20=0,"",IF($L20&gt;=6,"Priority 1",IF($L20&gt;=5,"Priority 2",IF($L20&gt;=3,"Watch","Low"))))</f>
        <v>Low</v>
      </c>
      <c r="N20" s="37" t="str">
        <f>IF($E20=0,"",IF(AND($F20&gt;='Opportunity Controls'!$B$15,$L20&gt;=6),"YES",""))</f>
        <v/>
      </c>
      <c r="O20" s="34">
        <f>IF($E20=0,0,$H20*$I20)</f>
        <v>9.2625475913979578</v>
      </c>
    </row>
    <row r="21" spans="1:15">
      <c r="A21" s="22" t="str">
        <f>'Historical FY16-FY25'!A20</f>
        <v>Campbell County</v>
      </c>
      <c r="B21" s="22" t="str">
        <f>'Historical FY16-FY25'!B20</f>
        <v>County</v>
      </c>
      <c r="C21" s="3" t="s">
        <v>309</v>
      </c>
      <c r="D21" s="33" t="s">
        <v>260</v>
      </c>
      <c r="E21" s="3">
        <f>IF(OR('Opportunity Controls'!$B$16="Both",AND('Opportunity Controls'!$B$16="Counties",$B21="County"),AND('Opportunity Controls'!$B$16="Cities",$B21="City")),1,0)</f>
        <v>1</v>
      </c>
      <c r="F21" s="23">
        <f>'Schools 1pct Profile'!E21</f>
        <v>9953323.9858283065</v>
      </c>
      <c r="G21" s="23">
        <f>'Schools 1pct Profile'!H21</f>
        <v>299248625.77277887</v>
      </c>
      <c r="H21" s="34">
        <f>IFERROR(($G21/MAX($G$6:$G$138))^'Opportunity Controls'!$B$14*100,0)</f>
        <v>28.886263090859011</v>
      </c>
      <c r="I21" s="35">
        <f>IFERROR(INDEX('Opportunity Controls'!$B$6:$B$9,MATCH($D21,'Opportunity Controls'!$A$6:$A$9,0)),1)</f>
        <v>0.7</v>
      </c>
      <c r="J21" s="34">
        <f>IF($E21=0,"",$H21*$I21)</f>
        <v>20.220384163601306</v>
      </c>
      <c r="K21" s="36">
        <f>IF($E21=0,"",RANK($J21,$J$6:$J$138))</f>
        <v>29</v>
      </c>
      <c r="L21" s="36">
        <f>IF($E21=0,"",8-ROUNDUP($K21/COUNT($J$6:$J$138)*7,0))</f>
        <v>5</v>
      </c>
      <c r="M21" s="3" t="str">
        <f>IF($E21=0,"",IF($L21&gt;=6,"Priority 1",IF($L21&gt;=5,"Priority 2",IF($L21&gt;=3,"Watch","Low"))))</f>
        <v>Priority 2</v>
      </c>
      <c r="N21" s="37" t="str">
        <f>IF($E21=0,"",IF(AND($F21&gt;='Opportunity Controls'!$B$15,$L21&gt;=6),"YES",""))</f>
        <v/>
      </c>
      <c r="O21" s="34">
        <f>IF($E21=0,0,$H21*$I21)</f>
        <v>20.220384163601306</v>
      </c>
    </row>
    <row r="22" spans="1:15">
      <c r="A22" s="22" t="str">
        <f>'Historical FY16-FY25'!A21</f>
        <v>Caroline County</v>
      </c>
      <c r="B22" s="22" t="str">
        <f>'Historical FY16-FY25'!B21</f>
        <v>County</v>
      </c>
      <c r="C22" s="3" t="s">
        <v>308</v>
      </c>
      <c r="D22" s="33" t="s">
        <v>260</v>
      </c>
      <c r="E22" s="3">
        <f>IF(OR('Opportunity Controls'!$B$16="Both",AND('Opportunity Controls'!$B$16="Counties",$B22="County"),AND('Opportunity Controls'!$B$16="Cities",$B22="City")),1,0)</f>
        <v>1</v>
      </c>
      <c r="F22" s="23">
        <f>'Schools 1pct Profile'!E22</f>
        <v>4790807.8666122062</v>
      </c>
      <c r="G22" s="23">
        <f>'Schools 1pct Profile'!H22</f>
        <v>157739980.40506706</v>
      </c>
      <c r="H22" s="34">
        <f>IFERROR(($G22/MAX($G$6:$G$138))^'Opportunity Controls'!$B$14*100,0)</f>
        <v>22.647330460770995</v>
      </c>
      <c r="I22" s="35">
        <f>IFERROR(INDEX('Opportunity Controls'!$B$6:$B$9,MATCH($D22,'Opportunity Controls'!$A$6:$A$9,0)),1)</f>
        <v>0.7</v>
      </c>
      <c r="J22" s="34">
        <f>IF($E22=0,"",$H22*$I22)</f>
        <v>15.853131322539696</v>
      </c>
      <c r="K22" s="36">
        <f>IF($E22=0,"",RANK($J22,$J$6:$J$138))</f>
        <v>44</v>
      </c>
      <c r="L22" s="36">
        <f>IF($E22=0,"",8-ROUNDUP($K22/COUNT($J$6:$J$138)*7,0))</f>
        <v>4</v>
      </c>
      <c r="M22" s="3" t="str">
        <f>IF($E22=0,"",IF($L22&gt;=6,"Priority 1",IF($L22&gt;=5,"Priority 2",IF($L22&gt;=3,"Watch","Low"))))</f>
        <v>Watch</v>
      </c>
      <c r="N22" s="37" t="str">
        <f>IF($E22=0,"",IF(AND($F22&gt;='Opportunity Controls'!$B$15,$L22&gt;=6),"YES",""))</f>
        <v/>
      </c>
      <c r="O22" s="34">
        <f>IF($E22=0,0,$H22*$I22)</f>
        <v>15.853131322539696</v>
      </c>
    </row>
    <row r="23" spans="1:15">
      <c r="A23" s="22" t="str">
        <f>'Historical FY16-FY25'!A22</f>
        <v>Carroll County</v>
      </c>
      <c r="B23" s="22" t="str">
        <f>'Historical FY16-FY25'!B22</f>
        <v>County</v>
      </c>
      <c r="C23" s="3" t="s">
        <v>311</v>
      </c>
      <c r="D23" s="33" t="s">
        <v>260</v>
      </c>
      <c r="E23" s="3">
        <f>IF(OR('Opportunity Controls'!$B$16="Both",AND('Opportunity Controls'!$B$16="Counties",$B23="County"),AND('Opportunity Controls'!$B$16="Cities",$B23="City")),1,0)</f>
        <v>1</v>
      </c>
      <c r="F23" s="23">
        <f>'Schools 1pct Profile'!E23</f>
        <v>3566283.0650060098</v>
      </c>
      <c r="G23" s="23">
        <f>'Schools 1pct Profile'!H23</f>
        <v>102713228.5816727</v>
      </c>
      <c r="H23" s="34">
        <f>IFERROR(($G23/MAX($G$6:$G$138))^'Opportunity Controls'!$B$14*100,0)</f>
        <v>19.24053591444564</v>
      </c>
      <c r="I23" s="35">
        <f>IFERROR(INDEX('Opportunity Controls'!$B$6:$B$9,MATCH($D23,'Opportunity Controls'!$A$6:$A$9,0)),1)</f>
        <v>0.7</v>
      </c>
      <c r="J23" s="34">
        <f>IF($E23=0,"",$H23*$I23)</f>
        <v>13.468375140111947</v>
      </c>
      <c r="K23" s="36">
        <f>IF($E23=0,"",RANK($J23,$J$6:$J$138))</f>
        <v>53</v>
      </c>
      <c r="L23" s="36">
        <f>IF($E23=0,"",8-ROUNDUP($K23/COUNT($J$6:$J$138)*7,0))</f>
        <v>4</v>
      </c>
      <c r="M23" s="3" t="str">
        <f>IF($E23=0,"",IF($L23&gt;=6,"Priority 1",IF($L23&gt;=5,"Priority 2",IF($L23&gt;=3,"Watch","Low"))))</f>
        <v>Watch</v>
      </c>
      <c r="N23" s="37" t="str">
        <f>IF($E23=0,"",IF(AND($F23&gt;='Opportunity Controls'!$B$15,$L23&gt;=6),"YES",""))</f>
        <v/>
      </c>
      <c r="O23" s="34">
        <f>IF($E23=0,0,$H23*$I23)</f>
        <v>13.468375140111947</v>
      </c>
    </row>
    <row r="24" spans="1:15">
      <c r="A24" s="22" t="str">
        <f>'Historical FY16-FY25'!A23</f>
        <v>Charles City County</v>
      </c>
      <c r="B24" s="22" t="str">
        <f>'Historical FY16-FY25'!B23</f>
        <v>County</v>
      </c>
      <c r="C24" s="3" t="s">
        <v>308</v>
      </c>
      <c r="D24" s="33" t="s">
        <v>260</v>
      </c>
      <c r="E24" s="3">
        <f>IF(OR('Opportunity Controls'!$B$16="Both",AND('Opportunity Controls'!$B$16="Counties",$B24="County"),AND('Opportunity Controls'!$B$16="Cities",$B24="City")),1,0)</f>
        <v>1</v>
      </c>
      <c r="F24" s="23">
        <f>'Schools 1pct Profile'!E24</f>
        <v>1641347.6733992693</v>
      </c>
      <c r="G24" s="23">
        <f>'Schools 1pct Profile'!H24</f>
        <v>49881440.841026306</v>
      </c>
      <c r="H24" s="34">
        <f>IFERROR(($G24/MAX($G$6:$G$138))^'Opportunity Controls'!$B$14*100,0)</f>
        <v>14.62230895621529</v>
      </c>
      <c r="I24" s="35">
        <f>IFERROR(INDEX('Opportunity Controls'!$B$6:$B$9,MATCH($D24,'Opportunity Controls'!$A$6:$A$9,0)),1)</f>
        <v>0.7</v>
      </c>
      <c r="J24" s="34">
        <f>IF($E24=0,"",$H24*$I24)</f>
        <v>10.235616269350702</v>
      </c>
      <c r="K24" s="36">
        <f>IF($E24=0,"",RANK($J24,$J$6:$J$138))</f>
        <v>70</v>
      </c>
      <c r="L24" s="36">
        <f>IF($E24=0,"",8-ROUNDUP($K24/COUNT($J$6:$J$138)*7,0))</f>
        <v>2</v>
      </c>
      <c r="M24" s="3" t="str">
        <f>IF($E24=0,"",IF($L24&gt;=6,"Priority 1",IF($L24&gt;=5,"Priority 2",IF($L24&gt;=3,"Watch","Low"))))</f>
        <v>Low</v>
      </c>
      <c r="N24" s="37" t="str">
        <f>IF($E24=0,"",IF(AND($F24&gt;='Opportunity Controls'!$B$15,$L24&gt;=6),"YES",""))</f>
        <v/>
      </c>
      <c r="O24" s="34">
        <f>IF($E24=0,0,$H24*$I24)</f>
        <v>10.235616269350702</v>
      </c>
    </row>
    <row r="25" spans="1:15">
      <c r="A25" s="22" t="str">
        <f>'Historical FY16-FY25'!A24</f>
        <v>Charlotte County</v>
      </c>
      <c r="B25" s="22" t="str">
        <f>'Historical FY16-FY25'!B24</f>
        <v>County</v>
      </c>
      <c r="C25" s="3" t="s">
        <v>309</v>
      </c>
      <c r="D25" s="33" t="s">
        <v>262</v>
      </c>
      <c r="E25" s="3">
        <f>IF(OR('Opportunity Controls'!$B$16="Both",AND('Opportunity Controls'!$B$16="Counties",$B25="County"),AND('Opportunity Controls'!$B$16="Cities",$B25="City")),1,0)</f>
        <v>1</v>
      </c>
      <c r="F25" s="23">
        <f>'Schools 1pct Profile'!E25</f>
        <v>1132192.2085279839</v>
      </c>
      <c r="G25" s="23">
        <f>'Schools 1pct Profile'!H25</f>
        <v>30261479.629918657</v>
      </c>
      <c r="H25" s="34">
        <f>IFERROR(($G25/MAX($G$6:$G$138))^'Opportunity Controls'!$B$14*100,0)</f>
        <v>12.09309320801694</v>
      </c>
      <c r="I25" s="35">
        <f>IFERROR(INDEX('Opportunity Controls'!$B$6:$B$9,MATCH($D25,'Opportunity Controls'!$A$6:$A$9,0)),1)</f>
        <v>0.35</v>
      </c>
      <c r="J25" s="34">
        <f>IF($E25=0,"",$H25*$I25)</f>
        <v>4.2325826228059285</v>
      </c>
      <c r="K25" s="36">
        <f>IF($E25=0,"",RANK($J25,$J$6:$J$138))</f>
        <v>95</v>
      </c>
      <c r="L25" s="36">
        <f>IF($E25=0,"",8-ROUNDUP($K25/COUNT($J$6:$J$138)*7,0))</f>
        <v>1</v>
      </c>
      <c r="M25" s="3" t="str">
        <f>IF($E25=0,"",IF($L25&gt;=6,"Priority 1",IF($L25&gt;=5,"Priority 2",IF($L25&gt;=3,"Watch","Low"))))</f>
        <v>Low</v>
      </c>
      <c r="N25" s="37" t="str">
        <f>IF($E25=0,"",IF(AND($F25&gt;='Opportunity Controls'!$B$15,$L25&gt;=6),"YES",""))</f>
        <v/>
      </c>
      <c r="O25" s="34">
        <f>IF($E25=0,0,$H25*$I25)</f>
        <v>4.2325826228059285</v>
      </c>
    </row>
    <row r="26" spans="1:15">
      <c r="A26" s="22" t="str">
        <f>'Historical FY16-FY25'!A25</f>
        <v>Chesterfield County</v>
      </c>
      <c r="B26" s="22" t="str">
        <f>'Historical FY16-FY25'!B25</f>
        <v>County</v>
      </c>
      <c r="C26" s="3" t="s">
        <v>308</v>
      </c>
      <c r="D26" s="33" t="s">
        <v>256</v>
      </c>
      <c r="E26" s="3">
        <f>IF(OR('Opportunity Controls'!$B$16="Both",AND('Opportunity Controls'!$B$16="Counties",$B26="County"),AND('Opportunity Controls'!$B$16="Cities",$B26="City")),1,0)</f>
        <v>1</v>
      </c>
      <c r="F26" s="23">
        <f>'Schools 1pct Profile'!E26</f>
        <v>87966825.602557018</v>
      </c>
      <c r="G26" s="23">
        <f>'Schools 1pct Profile'!H26</f>
        <v>2780696596.4259176</v>
      </c>
      <c r="H26" s="34">
        <f>IFERROR(($G26/MAX($G$6:$G$138))^'Opportunity Controls'!$B$14*100,0)</f>
        <v>67.387215272159978</v>
      </c>
      <c r="I26" s="35">
        <f>IFERROR(INDEX('Opportunity Controls'!$B$6:$B$9,MATCH($D26,'Opportunity Controls'!$A$6:$A$9,0)),1)</f>
        <v>1</v>
      </c>
      <c r="J26" s="34">
        <f>IF($E26=0,"",$H26*$I26)</f>
        <v>67.387215272159978</v>
      </c>
      <c r="K26" s="36">
        <f>IF($E26=0,"",RANK($J26,$J$6:$J$138))</f>
        <v>2</v>
      </c>
      <c r="L26" s="36">
        <f>IF($E26=0,"",8-ROUNDUP($K26/COUNT($J$6:$J$138)*7,0))</f>
        <v>7</v>
      </c>
      <c r="M26" s="3" t="str">
        <f>IF($E26=0,"",IF($L26&gt;=6,"Priority 1",IF($L26&gt;=5,"Priority 2",IF($L26&gt;=3,"Watch","Low"))))</f>
        <v>Priority 1</v>
      </c>
      <c r="N26" s="37" t="str">
        <f>IF($E26=0,"",IF(AND($F26&gt;='Opportunity Controls'!$B$15,$L26&gt;=6),"YES",""))</f>
        <v>YES</v>
      </c>
      <c r="O26" s="34">
        <f>IF($E26=0,0,$H26*$I26)</f>
        <v>67.387215272159978</v>
      </c>
    </row>
    <row r="27" spans="1:15">
      <c r="A27" s="22" t="str">
        <f>'Historical FY16-FY25'!A26</f>
        <v>Clarke County</v>
      </c>
      <c r="B27" s="22" t="str">
        <f>'Historical FY16-FY25'!B26</f>
        <v>County</v>
      </c>
      <c r="C27" s="3" t="s">
        <v>310</v>
      </c>
      <c r="D27" s="33" t="s">
        <v>260</v>
      </c>
      <c r="E27" s="3">
        <f>IF(OR('Opportunity Controls'!$B$16="Both",AND('Opportunity Controls'!$B$16="Counties",$B27="County"),AND('Opportunity Controls'!$B$16="Cities",$B27="City")),1,0)</f>
        <v>1</v>
      </c>
      <c r="F27" s="23">
        <f>'Schools 1pct Profile'!E27</f>
        <v>2322500.6431678818</v>
      </c>
      <c r="G27" s="23">
        <f>'Schools 1pct Profile'!H27</f>
        <v>72024099.985372305</v>
      </c>
      <c r="H27" s="34">
        <f>IFERROR(($G27/MAX($G$6:$G$138))^'Opportunity Controls'!$B$14*100,0)</f>
        <v>16.812826025380843</v>
      </c>
      <c r="I27" s="35">
        <f>IFERROR(INDEX('Opportunity Controls'!$B$6:$B$9,MATCH($D27,'Opportunity Controls'!$A$6:$A$9,0)),1)</f>
        <v>0.7</v>
      </c>
      <c r="J27" s="34">
        <f>IF($E27=0,"",$H27*$I27)</f>
        <v>11.768978217766589</v>
      </c>
      <c r="K27" s="36">
        <f>IF($E27=0,"",RANK($J27,$J$6:$J$138))</f>
        <v>63</v>
      </c>
      <c r="L27" s="36">
        <f>IF($E27=0,"",8-ROUNDUP($K27/COUNT($J$6:$J$138)*7,0))</f>
        <v>3</v>
      </c>
      <c r="M27" s="3" t="str">
        <f>IF($E27=0,"",IF($L27&gt;=6,"Priority 1",IF($L27&gt;=5,"Priority 2",IF($L27&gt;=3,"Watch","Low"))))</f>
        <v>Watch</v>
      </c>
      <c r="N27" s="37" t="str">
        <f>IF($E27=0,"",IF(AND($F27&gt;='Opportunity Controls'!$B$15,$L27&gt;=6),"YES",""))</f>
        <v/>
      </c>
      <c r="O27" s="34">
        <f>IF($E27=0,0,$H27*$I27)</f>
        <v>11.768978217766589</v>
      </c>
    </row>
    <row r="28" spans="1:15">
      <c r="A28" s="22" t="str">
        <f>'Historical FY16-FY25'!A27</f>
        <v>Craig County</v>
      </c>
      <c r="B28" s="22" t="str">
        <f>'Historical FY16-FY25'!B27</f>
        <v>County</v>
      </c>
      <c r="C28" s="3" t="s">
        <v>311</v>
      </c>
      <c r="D28" s="33" t="s">
        <v>260</v>
      </c>
      <c r="E28" s="3">
        <f>IF(OR('Opportunity Controls'!$B$16="Both",AND('Opportunity Controls'!$B$16="Counties",$B28="County"),AND('Opportunity Controls'!$B$16="Cities",$B28="City")),1,0)</f>
        <v>1</v>
      </c>
      <c r="F28" s="23">
        <f>'Schools 1pct Profile'!E28</f>
        <v>343384.14164355013</v>
      </c>
      <c r="G28" s="23">
        <f>'Schools 1pct Profile'!H28</f>
        <v>9330012.0510290079</v>
      </c>
      <c r="H28" s="34">
        <f>IFERROR(($G28/MAX($G$6:$G$138))^'Opportunity Controls'!$B$14*100,0)</f>
        <v>7.7331133786063493</v>
      </c>
      <c r="I28" s="35">
        <f>IFERROR(INDEX('Opportunity Controls'!$B$6:$B$9,MATCH($D28,'Opportunity Controls'!$A$6:$A$9,0)),1)</f>
        <v>0.7</v>
      </c>
      <c r="J28" s="34">
        <f>IF($E28=0,"",$H28*$I28)</f>
        <v>5.413179365024444</v>
      </c>
      <c r="K28" s="36">
        <f>IF($E28=0,"",RANK($J28,$J$6:$J$138))</f>
        <v>93</v>
      </c>
      <c r="L28" s="36">
        <f>IF($E28=0,"",8-ROUNDUP($K28/COUNT($J$6:$J$138)*7,0))</f>
        <v>1</v>
      </c>
      <c r="M28" s="3" t="str">
        <f>IF($E28=0,"",IF($L28&gt;=6,"Priority 1",IF($L28&gt;=5,"Priority 2",IF($L28&gt;=3,"Watch","Low"))))</f>
        <v>Low</v>
      </c>
      <c r="N28" s="37" t="str">
        <f>IF($E28=0,"",IF(AND($F28&gt;='Opportunity Controls'!$B$15,$L28&gt;=6),"YES",""))</f>
        <v/>
      </c>
      <c r="O28" s="34">
        <f>IF($E28=0,0,$H28*$I28)</f>
        <v>5.413179365024444</v>
      </c>
    </row>
    <row r="29" spans="1:15">
      <c r="A29" s="22" t="str">
        <f>'Historical FY16-FY25'!A28</f>
        <v>Culpeper County</v>
      </c>
      <c r="B29" s="22" t="str">
        <f>'Historical FY16-FY25'!B28</f>
        <v>County</v>
      </c>
      <c r="C29" s="3" t="s">
        <v>310</v>
      </c>
      <c r="D29" s="33" t="s">
        <v>260</v>
      </c>
      <c r="E29" s="3">
        <f>IF(OR('Opportunity Controls'!$B$16="Both",AND('Opportunity Controls'!$B$16="Counties",$B29="County"),AND('Opportunity Controls'!$B$16="Cities",$B29="City")),1,0)</f>
        <v>1</v>
      </c>
      <c r="F29" s="23">
        <f>'Schools 1pct Profile'!E29</f>
        <v>13458091.771918008</v>
      </c>
      <c r="G29" s="23">
        <f>'Schools 1pct Profile'!H29</f>
        <v>413908523.98936909</v>
      </c>
      <c r="H29" s="34">
        <f>IFERROR(($G29/MAX($G$6:$G$138))^'Opportunity Controls'!$B$14*100,0)</f>
        <v>32.675542033254366</v>
      </c>
      <c r="I29" s="35">
        <f>IFERROR(INDEX('Opportunity Controls'!$B$6:$B$9,MATCH($D29,'Opportunity Controls'!$A$6:$A$9,0)),1)</f>
        <v>0.7</v>
      </c>
      <c r="J29" s="34">
        <f>IF($E29=0,"",$H29*$I29)</f>
        <v>22.872879423278054</v>
      </c>
      <c r="K29" s="36">
        <f>IF($E29=0,"",RANK($J29,$J$6:$J$138))</f>
        <v>23</v>
      </c>
      <c r="L29" s="36">
        <f>IF($E29=0,"",8-ROUNDUP($K29/COUNT($J$6:$J$138)*7,0))</f>
        <v>6</v>
      </c>
      <c r="M29" s="3" t="str">
        <f>IF($E29=0,"",IF($L29&gt;=6,"Priority 1",IF($L29&gt;=5,"Priority 2",IF($L29&gt;=3,"Watch","Low"))))</f>
        <v>Priority 1</v>
      </c>
      <c r="N29" s="37" t="str">
        <f>IF($E29=0,"",IF(AND($F29&gt;='Opportunity Controls'!$B$15,$L29&gt;=6),"YES",""))</f>
        <v>YES</v>
      </c>
      <c r="O29" s="34">
        <f>IF($E29=0,0,$H29*$I29)</f>
        <v>22.872879423278054</v>
      </c>
    </row>
    <row r="30" spans="1:15">
      <c r="A30" s="22" t="str">
        <f>'Historical FY16-FY25'!A29</f>
        <v>Cumberland County</v>
      </c>
      <c r="B30" s="22" t="str">
        <f>'Historical FY16-FY25'!B29</f>
        <v>County</v>
      </c>
      <c r="C30" s="3" t="s">
        <v>308</v>
      </c>
      <c r="D30" s="33" t="s">
        <v>260</v>
      </c>
      <c r="E30" s="3">
        <f>IF(OR('Opportunity Controls'!$B$16="Both",AND('Opportunity Controls'!$B$16="Counties",$B30="County"),AND('Opportunity Controls'!$B$16="Cities",$B30="City")),1,0)</f>
        <v>1</v>
      </c>
      <c r="F30" s="23">
        <f>'Schools 1pct Profile'!E30</f>
        <v>881824.51716554735</v>
      </c>
      <c r="G30" s="23">
        <f>'Schools 1pct Profile'!H30</f>
        <v>24998930.59730358</v>
      </c>
      <c r="H30" s="34">
        <f>IFERROR(($G30/MAX($G$6:$G$138))^'Opportunity Controls'!$B$14*100,0)</f>
        <v>11.246290139507916</v>
      </c>
      <c r="I30" s="35">
        <f>IFERROR(INDEX('Opportunity Controls'!$B$6:$B$9,MATCH($D30,'Opportunity Controls'!$A$6:$A$9,0)),1)</f>
        <v>0.7</v>
      </c>
      <c r="J30" s="34">
        <f>IF($E30=0,"",$H30*$I30)</f>
        <v>7.8724030976555408</v>
      </c>
      <c r="K30" s="36">
        <f>IF($E30=0,"",RANK($J30,$J$6:$J$138))</f>
        <v>88</v>
      </c>
      <c r="L30" s="36">
        <f>IF($E30=0,"",8-ROUNDUP($K30/COUNT($J$6:$J$138)*7,0))</f>
        <v>1</v>
      </c>
      <c r="M30" s="3" t="str">
        <f>IF($E30=0,"",IF($L30&gt;=6,"Priority 1",IF($L30&gt;=5,"Priority 2",IF($L30&gt;=3,"Watch","Low"))))</f>
        <v>Low</v>
      </c>
      <c r="N30" s="37" t="str">
        <f>IF($E30=0,"",IF(AND($F30&gt;='Opportunity Controls'!$B$15,$L30&gt;=6),"YES",""))</f>
        <v/>
      </c>
      <c r="O30" s="34">
        <f>IF($E30=0,0,$H30*$I30)</f>
        <v>7.8724030976555408</v>
      </c>
    </row>
    <row r="31" spans="1:15">
      <c r="A31" s="22" t="str">
        <f>'Historical FY16-FY25'!A30</f>
        <v>Dickenson County</v>
      </c>
      <c r="B31" s="22" t="str">
        <f>'Historical FY16-FY25'!B30</f>
        <v>County</v>
      </c>
      <c r="C31" s="3" t="s">
        <v>311</v>
      </c>
      <c r="D31" s="33" t="s">
        <v>258</v>
      </c>
      <c r="E31" s="3">
        <f>IF(OR('Opportunity Controls'!$B$16="Both",AND('Opportunity Controls'!$B$16="Counties",$B31="County"),AND('Opportunity Controls'!$B$16="Cities",$B31="City")),1,0)</f>
        <v>1</v>
      </c>
      <c r="F31" s="23">
        <f>'Schools 1pct Profile'!E31</f>
        <v>1207586.0111832968</v>
      </c>
      <c r="G31" s="23">
        <f>'Schools 1pct Profile'!H31</f>
        <v>33000877.418402605</v>
      </c>
      <c r="H31" s="34">
        <f>IFERROR(($G31/MAX($G$6:$G$138))^'Opportunity Controls'!$B$14*100,0)</f>
        <v>12.497951208271187</v>
      </c>
      <c r="I31" s="35">
        <f>IFERROR(INDEX('Opportunity Controls'!$B$6:$B$9,MATCH($D31,'Opportunity Controls'!$A$6:$A$9,0)),1)</f>
        <v>0.8</v>
      </c>
      <c r="J31" s="34">
        <f>IF($E31=0,"",$H31*$I31)</f>
        <v>9.99836096661695</v>
      </c>
      <c r="K31" s="36">
        <f>IF($E31=0,"",RANK($J31,$J$6:$J$138))</f>
        <v>73</v>
      </c>
      <c r="L31" s="36">
        <f>IF($E31=0,"",8-ROUNDUP($K31/COUNT($J$6:$J$138)*7,0))</f>
        <v>2</v>
      </c>
      <c r="M31" s="3" t="str">
        <f>IF($E31=0,"",IF($L31&gt;=6,"Priority 1",IF($L31&gt;=5,"Priority 2",IF($L31&gt;=3,"Watch","Low"))))</f>
        <v>Low</v>
      </c>
      <c r="N31" s="37" t="str">
        <f>IF($E31=0,"",IF(AND($F31&gt;='Opportunity Controls'!$B$15,$L31&gt;=6),"YES",""))</f>
        <v/>
      </c>
      <c r="O31" s="34">
        <f>IF($E31=0,0,$H31*$I31)</f>
        <v>9.99836096661695</v>
      </c>
    </row>
    <row r="32" spans="1:15">
      <c r="A32" s="22" t="str">
        <f>'Historical FY16-FY25'!A31</f>
        <v>Dinwiddie County</v>
      </c>
      <c r="B32" s="22" t="str">
        <f>'Historical FY16-FY25'!B31</f>
        <v>County</v>
      </c>
      <c r="C32" s="3" t="s">
        <v>312</v>
      </c>
      <c r="D32" s="33" t="s">
        <v>260</v>
      </c>
      <c r="E32" s="3">
        <f>IF(OR('Opportunity Controls'!$B$16="Both",AND('Opportunity Controls'!$B$16="Counties",$B32="County"),AND('Opportunity Controls'!$B$16="Cities",$B32="City")),1,0)</f>
        <v>1</v>
      </c>
      <c r="F32" s="23">
        <f>'Schools 1pct Profile'!E32</f>
        <v>3951951.3602861278</v>
      </c>
      <c r="G32" s="23">
        <f>'Schools 1pct Profile'!H32</f>
        <v>124841122.60307983</v>
      </c>
      <c r="H32" s="34">
        <f>IFERROR(($G32/MAX($G$6:$G$138))^'Opportunity Controls'!$B$14*100,0)</f>
        <v>20.721207161666573</v>
      </c>
      <c r="I32" s="35">
        <f>IFERROR(INDEX('Opportunity Controls'!$B$6:$B$9,MATCH($D32,'Opportunity Controls'!$A$6:$A$9,0)),1)</f>
        <v>0.7</v>
      </c>
      <c r="J32" s="34">
        <f>IF($E32=0,"",$H32*$I32)</f>
        <v>14.5048450131666</v>
      </c>
      <c r="K32" s="36">
        <f>IF($E32=0,"",RANK($J32,$J$6:$J$138))</f>
        <v>48</v>
      </c>
      <c r="L32" s="36">
        <f>IF($E32=0,"",8-ROUNDUP($K32/COUNT($J$6:$J$138)*7,0))</f>
        <v>4</v>
      </c>
      <c r="M32" s="3" t="str">
        <f>IF($E32=0,"",IF($L32&gt;=6,"Priority 1",IF($L32&gt;=5,"Priority 2",IF($L32&gt;=3,"Watch","Low"))))</f>
        <v>Watch</v>
      </c>
      <c r="N32" s="37" t="str">
        <f>IF($E32=0,"",IF(AND($F32&gt;='Opportunity Controls'!$B$15,$L32&gt;=6),"YES",""))</f>
        <v/>
      </c>
      <c r="O32" s="34">
        <f>IF($E32=0,0,$H32*$I32)</f>
        <v>14.5048450131666</v>
      </c>
    </row>
    <row r="33" spans="1:15">
      <c r="A33" s="22" t="str">
        <f>'Historical FY16-FY25'!A32</f>
        <v>Essex County</v>
      </c>
      <c r="B33" s="22" t="str">
        <f>'Historical FY16-FY25'!B32</f>
        <v>County</v>
      </c>
      <c r="C33" s="3" t="s">
        <v>313</v>
      </c>
      <c r="D33" s="33" t="s">
        <v>256</v>
      </c>
      <c r="E33" s="3">
        <f>IF(OR('Opportunity Controls'!$B$16="Both",AND('Opportunity Controls'!$B$16="Counties",$B33="County"),AND('Opportunity Controls'!$B$16="Cities",$B33="City")),1,0)</f>
        <v>1</v>
      </c>
      <c r="F33" s="23">
        <f>'Schools 1pct Profile'!E33</f>
        <v>3150819.8494800027</v>
      </c>
      <c r="G33" s="23">
        <f>'Schools 1pct Profile'!H33</f>
        <v>90678494.101902306</v>
      </c>
      <c r="H33" s="34">
        <f>IFERROR(($G33/MAX($G$6:$G$138))^'Opportunity Controls'!$B$14*100,0)</f>
        <v>18.350621329423468</v>
      </c>
      <c r="I33" s="35">
        <f>IFERROR(INDEX('Opportunity Controls'!$B$6:$B$9,MATCH($D33,'Opportunity Controls'!$A$6:$A$9,0)),1)</f>
        <v>1</v>
      </c>
      <c r="J33" s="34">
        <f>IF($E33=0,"",$H33*$I33)</f>
        <v>18.350621329423468</v>
      </c>
      <c r="K33" s="36">
        <f>IF($E33=0,"",RANK($J33,$J$6:$J$138))</f>
        <v>34</v>
      </c>
      <c r="L33" s="36">
        <f>IF($E33=0,"",8-ROUNDUP($K33/COUNT($J$6:$J$138)*7,0))</f>
        <v>5</v>
      </c>
      <c r="M33" s="3" t="str">
        <f>IF($E33=0,"",IF($L33&gt;=6,"Priority 1",IF($L33&gt;=5,"Priority 2",IF($L33&gt;=3,"Watch","Low"))))</f>
        <v>Priority 2</v>
      </c>
      <c r="N33" s="37" t="str">
        <f>IF($E33=0,"",IF(AND($F33&gt;='Opportunity Controls'!$B$15,$L33&gt;=6),"YES",""))</f>
        <v/>
      </c>
      <c r="O33" s="34">
        <f>IF($E33=0,0,$H33*$I33)</f>
        <v>18.350621329423468</v>
      </c>
    </row>
    <row r="34" spans="1:15">
      <c r="A34" s="22" t="str">
        <f>'Historical FY16-FY25'!A33</f>
        <v>Fairfax County</v>
      </c>
      <c r="B34" s="22" t="str">
        <f>'Historical FY16-FY25'!B33</f>
        <v>County</v>
      </c>
      <c r="C34" s="3" t="s">
        <v>310</v>
      </c>
      <c r="D34" s="33" t="s">
        <v>260</v>
      </c>
      <c r="E34" s="3">
        <f>IF(OR('Opportunity Controls'!$B$16="Both",AND('Opportunity Controls'!$B$16="Counties",$B34="County"),AND('Opportunity Controls'!$B$16="Cities",$B34="City")),1,0)</f>
        <v>1</v>
      </c>
      <c r="F34" s="23">
        <f>'Schools 1pct Profile'!E34</f>
        <v>275274942.33610231</v>
      </c>
      <c r="G34" s="23">
        <f>'Schools 1pct Profile'!H34</f>
        <v>7857156824.6745338</v>
      </c>
      <c r="H34" s="34">
        <f>IFERROR(($G34/MAX($G$6:$G$138))^'Opportunity Controls'!$B$14*100,0)</f>
        <v>100</v>
      </c>
      <c r="I34" s="35">
        <f>IFERROR(INDEX('Opportunity Controls'!$B$6:$B$9,MATCH($D34,'Opportunity Controls'!$A$6:$A$9,0)),1)</f>
        <v>0.7</v>
      </c>
      <c r="J34" s="34">
        <f>IF($E34=0,"",$H34*$I34)</f>
        <v>70</v>
      </c>
      <c r="K34" s="36">
        <f>IF($E34=0,"",RANK($J34,$J$6:$J$138))</f>
        <v>1</v>
      </c>
      <c r="L34" s="36">
        <f>IF($E34=0,"",8-ROUNDUP($K34/COUNT($J$6:$J$138)*7,0))</f>
        <v>7</v>
      </c>
      <c r="M34" s="3" t="str">
        <f>IF($E34=0,"",IF($L34&gt;=6,"Priority 1",IF($L34&gt;=5,"Priority 2",IF($L34&gt;=3,"Watch","Low"))))</f>
        <v>Priority 1</v>
      </c>
      <c r="N34" s="37" t="str">
        <f>IF($E34=0,"",IF(AND($F34&gt;='Opportunity Controls'!$B$15,$L34&gt;=6),"YES",""))</f>
        <v>YES</v>
      </c>
      <c r="O34" s="34">
        <f>IF($E34=0,0,$H34*$I34)</f>
        <v>70</v>
      </c>
    </row>
    <row r="35" spans="1:15">
      <c r="A35" s="22" t="str">
        <f>'Historical FY16-FY25'!A34</f>
        <v>Fauquier County</v>
      </c>
      <c r="B35" s="22" t="str">
        <f>'Historical FY16-FY25'!B34</f>
        <v>County</v>
      </c>
      <c r="C35" s="3" t="s">
        <v>310</v>
      </c>
      <c r="D35" s="33" t="s">
        <v>260</v>
      </c>
      <c r="E35" s="3">
        <f>IF(OR('Opportunity Controls'!$B$16="Both",AND('Opportunity Controls'!$B$16="Counties",$B35="County"),AND('Opportunity Controls'!$B$16="Cities",$B35="City")),1,0)</f>
        <v>1</v>
      </c>
      <c r="F35" s="23">
        <f>'Schools 1pct Profile'!E35</f>
        <v>19235007.34709784</v>
      </c>
      <c r="G35" s="23">
        <f>'Schools 1pct Profile'!H35</f>
        <v>619712951.30833054</v>
      </c>
      <c r="H35" s="34">
        <f>IFERROR(($G35/MAX($G$6:$G$138))^'Opportunity Controls'!$B$14*100,0)</f>
        <v>38.091805435019069</v>
      </c>
      <c r="I35" s="35">
        <f>IFERROR(INDEX('Opportunity Controls'!$B$6:$B$9,MATCH($D35,'Opportunity Controls'!$A$6:$A$9,0)),1)</f>
        <v>0.7</v>
      </c>
      <c r="J35" s="34">
        <f>IF($E35=0,"",$H35*$I35)</f>
        <v>26.664263804513347</v>
      </c>
      <c r="K35" s="36">
        <f>IF($E35=0,"",RANK($J35,$J$6:$J$138))</f>
        <v>14</v>
      </c>
      <c r="L35" s="36">
        <f>IF($E35=0,"",8-ROUNDUP($K35/COUNT($J$6:$J$138)*7,0))</f>
        <v>6</v>
      </c>
      <c r="M35" s="3" t="str">
        <f>IF($E35=0,"",IF($L35&gt;=6,"Priority 1",IF($L35&gt;=5,"Priority 2",IF($L35&gt;=3,"Watch","Low"))))</f>
        <v>Priority 1</v>
      </c>
      <c r="N35" s="37" t="str">
        <f>IF($E35=0,"",IF(AND($F35&gt;='Opportunity Controls'!$B$15,$L35&gt;=6),"YES",""))</f>
        <v>YES</v>
      </c>
      <c r="O35" s="34">
        <f>IF($E35=0,0,$H35*$I35)</f>
        <v>26.664263804513347</v>
      </c>
    </row>
    <row r="36" spans="1:15">
      <c r="A36" s="22" t="str">
        <f>'Historical FY16-FY25'!A35</f>
        <v>Floyd County</v>
      </c>
      <c r="B36" s="22" t="str">
        <f>'Historical FY16-FY25'!B35</f>
        <v>County</v>
      </c>
      <c r="C36" s="3" t="s">
        <v>311</v>
      </c>
      <c r="D36" s="33" t="s">
        <v>260</v>
      </c>
      <c r="E36" s="3">
        <f>IF(OR('Opportunity Controls'!$B$16="Both",AND('Opportunity Controls'!$B$16="Counties",$B36="County"),AND('Opportunity Controls'!$B$16="Cities",$B36="City")),1,0)</f>
        <v>1</v>
      </c>
      <c r="F36" s="23">
        <f>'Schools 1pct Profile'!E36</f>
        <v>2023165.7074194038</v>
      </c>
      <c r="G36" s="23">
        <f>'Schools 1pct Profile'!H36</f>
        <v>60988679.631835699</v>
      </c>
      <c r="H36" s="34">
        <f>IFERROR(($G36/MAX($G$6:$G$138))^'Opportunity Controls'!$B$14*100,0)</f>
        <v>15.783155949530947</v>
      </c>
      <c r="I36" s="35">
        <f>IFERROR(INDEX('Opportunity Controls'!$B$6:$B$9,MATCH($D36,'Opportunity Controls'!$A$6:$A$9,0)),1)</f>
        <v>0.7</v>
      </c>
      <c r="J36" s="34">
        <f>IF($E36=0,"",$H36*$I36)</f>
        <v>11.048209164671663</v>
      </c>
      <c r="K36" s="36">
        <f>IF($E36=0,"",RANK($J36,$J$6:$J$138))</f>
        <v>67</v>
      </c>
      <c r="L36" s="36">
        <f>IF($E36=0,"",8-ROUNDUP($K36/COUNT($J$6:$J$138)*7,0))</f>
        <v>3</v>
      </c>
      <c r="M36" s="3" t="str">
        <f>IF($E36=0,"",IF($L36&gt;=6,"Priority 1",IF($L36&gt;=5,"Priority 2",IF($L36&gt;=3,"Watch","Low"))))</f>
        <v>Watch</v>
      </c>
      <c r="N36" s="37" t="str">
        <f>IF($E36=0,"",IF(AND($F36&gt;='Opportunity Controls'!$B$15,$L36&gt;=6),"YES",""))</f>
        <v/>
      </c>
      <c r="O36" s="34">
        <f>IF($E36=0,0,$H36*$I36)</f>
        <v>11.048209164671663</v>
      </c>
    </row>
    <row r="37" spans="1:15">
      <c r="A37" s="22" t="str">
        <f>'Historical FY16-FY25'!A36</f>
        <v>Fluvanna County</v>
      </c>
      <c r="B37" s="22" t="str">
        <f>'Historical FY16-FY25'!B36</f>
        <v>County</v>
      </c>
      <c r="C37" s="3" t="s">
        <v>306</v>
      </c>
      <c r="D37" s="33" t="s">
        <v>260</v>
      </c>
      <c r="E37" s="3">
        <f>IF(OR('Opportunity Controls'!$B$16="Both",AND('Opportunity Controls'!$B$16="Counties",$B37="County"),AND('Opportunity Controls'!$B$16="Cities",$B37="City")),1,0)</f>
        <v>1</v>
      </c>
      <c r="F37" s="23">
        <f>'Schools 1pct Profile'!E37</f>
        <v>3177069.3108152896</v>
      </c>
      <c r="G37" s="23">
        <f>'Schools 1pct Profile'!H37</f>
        <v>93288803.597099811</v>
      </c>
      <c r="H37" s="34">
        <f>IFERROR(($G37/MAX($G$6:$G$138))^'Opportunity Controls'!$B$14*100,0)</f>
        <v>18.549591872230671</v>
      </c>
      <c r="I37" s="35">
        <f>IFERROR(INDEX('Opportunity Controls'!$B$6:$B$9,MATCH($D37,'Opportunity Controls'!$A$6:$A$9,0)),1)</f>
        <v>0.7</v>
      </c>
      <c r="J37" s="34">
        <f>IF($E37=0,"",$H37*$I37)</f>
        <v>12.984714310561468</v>
      </c>
      <c r="K37" s="36">
        <f>IF($E37=0,"",RANK($J37,$J$6:$J$138))</f>
        <v>56</v>
      </c>
      <c r="L37" s="36">
        <f>IF($E37=0,"",8-ROUNDUP($K37/COUNT($J$6:$J$138)*7,0))</f>
        <v>3</v>
      </c>
      <c r="M37" s="3" t="str">
        <f>IF($E37=0,"",IF($L37&gt;=6,"Priority 1",IF($L37&gt;=5,"Priority 2",IF($L37&gt;=3,"Watch","Low"))))</f>
        <v>Watch</v>
      </c>
      <c r="N37" s="37" t="str">
        <f>IF($E37=0,"",IF(AND($F37&gt;='Opportunity Controls'!$B$15,$L37&gt;=6),"YES",""))</f>
        <v/>
      </c>
      <c r="O37" s="34">
        <f>IF($E37=0,0,$H37*$I37)</f>
        <v>12.984714310561468</v>
      </c>
    </row>
    <row r="38" spans="1:15">
      <c r="A38" s="22" t="str">
        <f>'Historical FY16-FY25'!A37</f>
        <v>Franklin County</v>
      </c>
      <c r="B38" s="22" t="str">
        <f>'Historical FY16-FY25'!B37</f>
        <v>County</v>
      </c>
      <c r="C38" s="3" t="s">
        <v>309</v>
      </c>
      <c r="D38" s="33" t="s">
        <v>256</v>
      </c>
      <c r="E38" s="3">
        <f>IF(OR('Opportunity Controls'!$B$16="Both",AND('Opportunity Controls'!$B$16="Counties",$B38="County"),AND('Opportunity Controls'!$B$16="Cities",$B38="City")),1,0)</f>
        <v>1</v>
      </c>
      <c r="F38" s="23">
        <f>'Schools 1pct Profile'!E38</f>
        <v>9154045.126180768</v>
      </c>
      <c r="G38" s="23">
        <f>'Schools 1pct Profile'!H38</f>
        <v>256952736.40654007</v>
      </c>
      <c r="H38" s="34">
        <f>IFERROR(($G38/MAX($G$6:$G$138))^'Opportunity Controls'!$B$14*100,0)</f>
        <v>27.261099863962169</v>
      </c>
      <c r="I38" s="35">
        <f>IFERROR(INDEX('Opportunity Controls'!$B$6:$B$9,MATCH($D38,'Opportunity Controls'!$A$6:$A$9,0)),1)</f>
        <v>1</v>
      </c>
      <c r="J38" s="34">
        <f>IF($E38=0,"",$H38*$I38)</f>
        <v>27.261099863962169</v>
      </c>
      <c r="K38" s="36">
        <f>IF($E38=0,"",RANK($J38,$J$6:$J$138))</f>
        <v>13</v>
      </c>
      <c r="L38" s="36">
        <f>IF($E38=0,"",8-ROUNDUP($K38/COUNT($J$6:$J$138)*7,0))</f>
        <v>7</v>
      </c>
      <c r="M38" s="3" t="str">
        <f>IF($E38=0,"",IF($L38&gt;=6,"Priority 1",IF($L38&gt;=5,"Priority 2",IF($L38&gt;=3,"Watch","Low"))))</f>
        <v>Priority 1</v>
      </c>
      <c r="N38" s="37" t="str">
        <f>IF($E38=0,"",IF(AND($F38&gt;='Opportunity Controls'!$B$15,$L38&gt;=6),"YES",""))</f>
        <v>YES</v>
      </c>
      <c r="O38" s="34">
        <f>IF($E38=0,0,$H38*$I38)</f>
        <v>27.261099863962169</v>
      </c>
    </row>
    <row r="39" spans="1:15">
      <c r="A39" s="22" t="str">
        <f>'Historical FY16-FY25'!A38</f>
        <v>Frederick County</v>
      </c>
      <c r="B39" s="22" t="str">
        <f>'Historical FY16-FY25'!B38</f>
        <v>County</v>
      </c>
      <c r="C39" s="3" t="s">
        <v>307</v>
      </c>
      <c r="D39" s="33" t="s">
        <v>260</v>
      </c>
      <c r="E39" s="3">
        <f>IF(OR('Opportunity Controls'!$B$16="Both",AND('Opportunity Controls'!$B$16="Counties",$B39="County"),AND('Opportunity Controls'!$B$16="Cities",$B39="City")),1,0)</f>
        <v>1</v>
      </c>
      <c r="F39" s="23">
        <f>'Schools 1pct Profile'!E39</f>
        <v>25833959.594880264</v>
      </c>
      <c r="G39" s="23">
        <f>'Schools 1pct Profile'!H39</f>
        <v>834560200.75234473</v>
      </c>
      <c r="H39" s="34">
        <f>IFERROR(($G39/MAX($G$6:$G$138))^'Opportunity Controls'!$B$14*100,0)</f>
        <v>42.653340961837564</v>
      </c>
      <c r="I39" s="35">
        <f>IFERROR(INDEX('Opportunity Controls'!$B$6:$B$9,MATCH($D39,'Opportunity Controls'!$A$6:$A$9,0)),1)</f>
        <v>0.7</v>
      </c>
      <c r="J39" s="34">
        <f>IF($E39=0,"",$H39*$I39)</f>
        <v>29.857338673286293</v>
      </c>
      <c r="K39" s="36">
        <f>IF($E39=0,"",RANK($J39,$J$6:$J$138))</f>
        <v>12</v>
      </c>
      <c r="L39" s="36">
        <f>IF($E39=0,"",8-ROUNDUP($K39/COUNT($J$6:$J$138)*7,0))</f>
        <v>7</v>
      </c>
      <c r="M39" s="3" t="str">
        <f>IF($E39=0,"",IF($L39&gt;=6,"Priority 1",IF($L39&gt;=5,"Priority 2",IF($L39&gt;=3,"Watch","Low"))))</f>
        <v>Priority 1</v>
      </c>
      <c r="N39" s="37" t="str">
        <f>IF($E39=0,"",IF(AND($F39&gt;='Opportunity Controls'!$B$15,$L39&gt;=6),"YES",""))</f>
        <v>YES</v>
      </c>
      <c r="O39" s="34">
        <f>IF($E39=0,0,$H39*$I39)</f>
        <v>29.857338673286293</v>
      </c>
    </row>
    <row r="40" spans="1:15">
      <c r="A40" s="22" t="str">
        <f>'Historical FY16-FY25'!A39</f>
        <v>Giles County</v>
      </c>
      <c r="B40" s="22" t="str">
        <f>'Historical FY16-FY25'!B39</f>
        <v>County</v>
      </c>
      <c r="C40" s="3" t="s">
        <v>311</v>
      </c>
      <c r="D40" s="33" t="s">
        <v>260</v>
      </c>
      <c r="E40" s="3">
        <f>IF(OR('Opportunity Controls'!$B$16="Both",AND('Opportunity Controls'!$B$16="Counties",$B40="County"),AND('Opportunity Controls'!$B$16="Cities",$B40="City")),1,0)</f>
        <v>1</v>
      </c>
      <c r="F40" s="23">
        <f>'Schools 1pct Profile'!E40</f>
        <v>3024840.1654925672</v>
      </c>
      <c r="G40" s="23">
        <f>'Schools 1pct Profile'!H40</f>
        <v>84035613.383878469</v>
      </c>
      <c r="H40" s="34">
        <f>IFERROR(($G40/MAX($G$6:$G$138))^'Opportunity Controls'!$B$14*100,0)</f>
        <v>17.827696092348312</v>
      </c>
      <c r="I40" s="35">
        <f>IFERROR(INDEX('Opportunity Controls'!$B$6:$B$9,MATCH($D40,'Opportunity Controls'!$A$6:$A$9,0)),1)</f>
        <v>0.7</v>
      </c>
      <c r="J40" s="34">
        <f>IF($E40=0,"",$H40*$I40)</f>
        <v>12.479387264643817</v>
      </c>
      <c r="K40" s="36">
        <f>IF($E40=0,"",RANK($J40,$J$6:$J$138))</f>
        <v>58</v>
      </c>
      <c r="L40" s="36">
        <f>IF($E40=0,"",8-ROUNDUP($K40/COUNT($J$6:$J$138)*7,0))</f>
        <v>3</v>
      </c>
      <c r="M40" s="3" t="str">
        <f>IF($E40=0,"",IF($L40&gt;=6,"Priority 1",IF($L40&gt;=5,"Priority 2",IF($L40&gt;=3,"Watch","Low"))))</f>
        <v>Watch</v>
      </c>
      <c r="N40" s="37" t="str">
        <f>IF($E40=0,"",IF(AND($F40&gt;='Opportunity Controls'!$B$15,$L40&gt;=6),"YES",""))</f>
        <v/>
      </c>
      <c r="O40" s="34">
        <f>IF($E40=0,0,$H40*$I40)</f>
        <v>12.479387264643817</v>
      </c>
    </row>
    <row r="41" spans="1:15">
      <c r="A41" s="22" t="str">
        <f>'Historical FY16-FY25'!A40</f>
        <v>Gloucester County</v>
      </c>
      <c r="B41" s="22" t="str">
        <f>'Historical FY16-FY25'!B40</f>
        <v>County</v>
      </c>
      <c r="C41" s="3" t="s">
        <v>314</v>
      </c>
      <c r="D41" s="33" t="s">
        <v>262</v>
      </c>
      <c r="E41" s="3">
        <f>IF(OR('Opportunity Controls'!$B$16="Both",AND('Opportunity Controls'!$B$16="Counties",$B41="County"),AND('Opportunity Controls'!$B$16="Cities",$B41="City")),1,0)</f>
        <v>1</v>
      </c>
      <c r="F41" s="23">
        <f>'Schools 1pct Profile'!E41</f>
        <v>8293160.3900062647</v>
      </c>
      <c r="G41" s="23">
        <f>'Schools 1pct Profile'!H41</f>
        <v>255018788.07100615</v>
      </c>
      <c r="H41" s="34">
        <f>IFERROR(($G41/MAX($G$6:$G$138))^'Opportunity Controls'!$B$14*100,0)</f>
        <v>27.182948810057351</v>
      </c>
      <c r="I41" s="35">
        <f>IFERROR(INDEX('Opportunity Controls'!$B$6:$B$9,MATCH($D41,'Opportunity Controls'!$A$6:$A$9,0)),1)</f>
        <v>0.35</v>
      </c>
      <c r="J41" s="34">
        <f>IF($E41=0,"",$H41*$I41)</f>
        <v>9.5140320835200729</v>
      </c>
      <c r="K41" s="36">
        <f>IF($E41=0,"",RANK($J41,$J$6:$J$138))</f>
        <v>75</v>
      </c>
      <c r="L41" s="36">
        <f>IF($E41=0,"",8-ROUNDUP($K41/COUNT($J$6:$J$138)*7,0))</f>
        <v>2</v>
      </c>
      <c r="M41" s="3" t="str">
        <f>IF($E41=0,"",IF($L41&gt;=6,"Priority 1",IF($L41&gt;=5,"Priority 2",IF($L41&gt;=3,"Watch","Low"))))</f>
        <v>Low</v>
      </c>
      <c r="N41" s="37" t="str">
        <f>IF($E41=0,"",IF(AND($F41&gt;='Opportunity Controls'!$B$15,$L41&gt;=6),"YES",""))</f>
        <v/>
      </c>
      <c r="O41" s="34">
        <f>IF($E41=0,0,$H41*$I41)</f>
        <v>9.5140320835200729</v>
      </c>
    </row>
    <row r="42" spans="1:15">
      <c r="A42" s="22" t="str">
        <f>'Historical FY16-FY25'!A41</f>
        <v>Goochland County</v>
      </c>
      <c r="B42" s="22" t="str">
        <f>'Historical FY16-FY25'!B41</f>
        <v>County</v>
      </c>
      <c r="C42" s="3" t="s">
        <v>308</v>
      </c>
      <c r="D42" s="33" t="s">
        <v>260</v>
      </c>
      <c r="E42" s="3">
        <f>IF(OR('Opportunity Controls'!$B$16="Both",AND('Opportunity Controls'!$B$16="Counties",$B42="County"),AND('Opportunity Controls'!$B$16="Cities",$B42="City")),1,0)</f>
        <v>1</v>
      </c>
      <c r="F42" s="23">
        <f>'Schools 1pct Profile'!E42</f>
        <v>6655066.8327910379</v>
      </c>
      <c r="G42" s="23">
        <f>'Schools 1pct Profile'!H42</f>
        <v>225095616.62589279</v>
      </c>
      <c r="H42" s="34">
        <f>IFERROR(($G42/MAX($G$6:$G$138))^'Opportunity Controls'!$B$14*100,0)</f>
        <v>25.923797133407707</v>
      </c>
      <c r="I42" s="35">
        <f>IFERROR(INDEX('Opportunity Controls'!$B$6:$B$9,MATCH($D42,'Opportunity Controls'!$A$6:$A$9,0)),1)</f>
        <v>0.7</v>
      </c>
      <c r="J42" s="34">
        <f>IF($E42=0,"",$H42*$I42)</f>
        <v>18.146657993385393</v>
      </c>
      <c r="K42" s="36">
        <f>IF($E42=0,"",RANK($J42,$J$6:$J$138))</f>
        <v>35</v>
      </c>
      <c r="L42" s="36">
        <f>IF($E42=0,"",8-ROUNDUP($K42/COUNT($J$6:$J$138)*7,0))</f>
        <v>5</v>
      </c>
      <c r="M42" s="3" t="str">
        <f>IF($E42=0,"",IF($L42&gt;=6,"Priority 1",IF($L42&gt;=5,"Priority 2",IF($L42&gt;=3,"Watch","Low"))))</f>
        <v>Priority 2</v>
      </c>
      <c r="N42" s="37" t="str">
        <f>IF($E42=0,"",IF(AND($F42&gt;='Opportunity Controls'!$B$15,$L42&gt;=6),"YES",""))</f>
        <v/>
      </c>
      <c r="O42" s="34">
        <f>IF($E42=0,0,$H42*$I42)</f>
        <v>18.146657993385393</v>
      </c>
    </row>
    <row r="43" spans="1:15">
      <c r="A43" s="22" t="str">
        <f>'Historical FY16-FY25'!A42</f>
        <v>Grayson County</v>
      </c>
      <c r="B43" s="22" t="str">
        <f>'Historical FY16-FY25'!B42</f>
        <v>County</v>
      </c>
      <c r="C43" s="3" t="s">
        <v>311</v>
      </c>
      <c r="D43" s="33" t="s">
        <v>260</v>
      </c>
      <c r="E43" s="3">
        <f>IF(OR('Opportunity Controls'!$B$16="Both",AND('Opportunity Controls'!$B$16="Counties",$B43="County"),AND('Opportunity Controls'!$B$16="Cities",$B43="City")),1,0)</f>
        <v>1</v>
      </c>
      <c r="F43" s="23">
        <f>'Schools 1pct Profile'!E43</f>
        <v>995125.92927142326</v>
      </c>
      <c r="G43" s="23">
        <f>'Schools 1pct Profile'!H43</f>
        <v>27161123.556247741</v>
      </c>
      <c r="H43" s="34">
        <f>IFERROR(($G43/MAX($G$6:$G$138))^'Opportunity Controls'!$B$14*100,0)</f>
        <v>11.606446601617266</v>
      </c>
      <c r="I43" s="35">
        <f>IFERROR(INDEX('Opportunity Controls'!$B$6:$B$9,MATCH($D43,'Opportunity Controls'!$A$6:$A$9,0)),1)</f>
        <v>0.7</v>
      </c>
      <c r="J43" s="34">
        <f>IF($E43=0,"",$H43*$I43)</f>
        <v>8.1245126211320855</v>
      </c>
      <c r="K43" s="36">
        <f>IF($E43=0,"",RANK($J43,$J$6:$J$138))</f>
        <v>87</v>
      </c>
      <c r="L43" s="36">
        <f>IF($E43=0,"",8-ROUNDUP($K43/COUNT($J$6:$J$138)*7,0))</f>
        <v>1</v>
      </c>
      <c r="M43" s="3" t="str">
        <f>IF($E43=0,"",IF($L43&gt;=6,"Priority 1",IF($L43&gt;=5,"Priority 2",IF($L43&gt;=3,"Watch","Low"))))</f>
        <v>Low</v>
      </c>
      <c r="N43" s="37" t="str">
        <f>IF($E43=0,"",IF(AND($F43&gt;='Opportunity Controls'!$B$15,$L43&gt;=6),"YES",""))</f>
        <v/>
      </c>
      <c r="O43" s="34">
        <f>IF($E43=0,0,$H43*$I43)</f>
        <v>8.1245126211320855</v>
      </c>
    </row>
    <row r="44" spans="1:15">
      <c r="A44" s="22" t="str">
        <f>'Historical FY16-FY25'!A43</f>
        <v>Greene County</v>
      </c>
      <c r="B44" s="22" t="str">
        <f>'Historical FY16-FY25'!B43</f>
        <v>County</v>
      </c>
      <c r="C44" s="3" t="s">
        <v>306</v>
      </c>
      <c r="D44" s="33" t="s">
        <v>260</v>
      </c>
      <c r="E44" s="3">
        <f>IF(OR('Opportunity Controls'!$B$16="Both",AND('Opportunity Controls'!$B$16="Counties",$B44="County"),AND('Opportunity Controls'!$B$16="Cities",$B44="City")),1,0)</f>
        <v>1</v>
      </c>
      <c r="F44" s="23">
        <f>'Schools 1pct Profile'!E44</f>
        <v>3979612.7458001161</v>
      </c>
      <c r="G44" s="23">
        <f>'Schools 1pct Profile'!H44</f>
        <v>123680594.69696343</v>
      </c>
      <c r="H44" s="34">
        <f>IFERROR(($G44/MAX($G$6:$G$138))^'Opportunity Controls'!$B$14*100,0)</f>
        <v>20.647797603089547</v>
      </c>
      <c r="I44" s="35">
        <f>IFERROR(INDEX('Opportunity Controls'!$B$6:$B$9,MATCH($D44,'Opportunity Controls'!$A$6:$A$9,0)),1)</f>
        <v>0.7</v>
      </c>
      <c r="J44" s="34">
        <f>IF($E44=0,"",$H44*$I44)</f>
        <v>14.453458322162682</v>
      </c>
      <c r="K44" s="36">
        <f>IF($E44=0,"",RANK($J44,$J$6:$J$138))</f>
        <v>49</v>
      </c>
      <c r="L44" s="36">
        <f>IF($E44=0,"",8-ROUNDUP($K44/COUNT($J$6:$J$138)*7,0))</f>
        <v>4</v>
      </c>
      <c r="M44" s="3" t="str">
        <f>IF($E44=0,"",IF($L44&gt;=6,"Priority 1",IF($L44&gt;=5,"Priority 2",IF($L44&gt;=3,"Watch","Low"))))</f>
        <v>Watch</v>
      </c>
      <c r="N44" s="37" t="str">
        <f>IF($E44=0,"",IF(AND($F44&gt;='Opportunity Controls'!$B$15,$L44&gt;=6),"YES",""))</f>
        <v/>
      </c>
      <c r="O44" s="34">
        <f>IF($E44=0,0,$H44*$I44)</f>
        <v>14.453458322162682</v>
      </c>
    </row>
    <row r="45" spans="1:15">
      <c r="A45" s="22" t="str">
        <f>'Historical FY16-FY25'!A44</f>
        <v>Greensville County</v>
      </c>
      <c r="B45" s="22" t="str">
        <f>'Historical FY16-FY25'!B44</f>
        <v>County</v>
      </c>
      <c r="C45" s="3" t="s">
        <v>312</v>
      </c>
      <c r="D45" s="33" t="s">
        <v>260</v>
      </c>
      <c r="E45" s="3">
        <f>IF(OR('Opportunity Controls'!$B$16="Both",AND('Opportunity Controls'!$B$16="Counties",$B45="County"),AND('Opportunity Controls'!$B$16="Cities",$B45="City")),1,0)</f>
        <v>1</v>
      </c>
      <c r="F45" s="23">
        <f>'Schools 1pct Profile'!E45</f>
        <v>1262084.8673145687</v>
      </c>
      <c r="G45" s="23">
        <f>'Schools 1pct Profile'!H45</f>
        <v>29522934.53047264</v>
      </c>
      <c r="H45" s="34">
        <f>IFERROR(($G45/MAX($G$6:$G$138))^'Opportunity Controls'!$B$14*100,0)</f>
        <v>11.980081118799022</v>
      </c>
      <c r="I45" s="35">
        <f>IFERROR(INDEX('Opportunity Controls'!$B$6:$B$9,MATCH($D45,'Opportunity Controls'!$A$6:$A$9,0)),1)</f>
        <v>0.7</v>
      </c>
      <c r="J45" s="34">
        <f>IF($E45=0,"",$H45*$I45)</f>
        <v>8.3860567831593151</v>
      </c>
      <c r="K45" s="36">
        <f>IF($E45=0,"",RANK($J45,$J$6:$J$138))</f>
        <v>86</v>
      </c>
      <c r="L45" s="36">
        <f>IF($E45=0,"",8-ROUNDUP($K45/COUNT($J$6:$J$138)*7,0))</f>
        <v>1</v>
      </c>
      <c r="M45" s="3" t="str">
        <f>IF($E45=0,"",IF($L45&gt;=6,"Priority 1",IF($L45&gt;=5,"Priority 2",IF($L45&gt;=3,"Watch","Low"))))</f>
        <v>Low</v>
      </c>
      <c r="N45" s="37" t="str">
        <f>IF($E45=0,"",IF(AND($F45&gt;='Opportunity Controls'!$B$15,$L45&gt;=6),"YES",""))</f>
        <v/>
      </c>
      <c r="O45" s="34">
        <f>IF($E45=0,0,$H45*$I45)</f>
        <v>8.3860567831593151</v>
      </c>
    </row>
    <row r="46" spans="1:15">
      <c r="A46" s="22" t="str">
        <f>'Historical FY16-FY25'!A45</f>
        <v>Halifax County</v>
      </c>
      <c r="B46" s="22" t="str">
        <f>'Historical FY16-FY25'!B45</f>
        <v>County</v>
      </c>
      <c r="C46" s="3" t="s">
        <v>309</v>
      </c>
      <c r="D46" s="33" t="s">
        <v>262</v>
      </c>
      <c r="E46" s="3">
        <f>IF(OR('Opportunity Controls'!$B$16="Both",AND('Opportunity Controls'!$B$16="Counties",$B46="County"),AND('Opportunity Controls'!$B$16="Cities",$B46="City")),1,0)</f>
        <v>1</v>
      </c>
      <c r="F46" s="23">
        <f>'Schools 1pct Profile'!E46</f>
        <v>6367472.4490853408</v>
      </c>
      <c r="G46" s="23">
        <f>'Schools 1pct Profile'!H46</f>
        <v>184904517.7360203</v>
      </c>
      <c r="H46" s="34">
        <f>IFERROR(($G46/MAX($G$6:$G$138))^'Opportunity Controls'!$B$14*100,0)</f>
        <v>24.056874263608702</v>
      </c>
      <c r="I46" s="35">
        <f>IFERROR(INDEX('Opportunity Controls'!$B$6:$B$9,MATCH($D46,'Opportunity Controls'!$A$6:$A$9,0)),1)</f>
        <v>0.35</v>
      </c>
      <c r="J46" s="34">
        <f>IF($E46=0,"",$H46*$I46)</f>
        <v>8.419905992263045</v>
      </c>
      <c r="K46" s="36">
        <f>IF($E46=0,"",RANK($J46,$J$6:$J$138))</f>
        <v>85</v>
      </c>
      <c r="L46" s="36">
        <f>IF($E46=0,"",8-ROUNDUP($K46/COUNT($J$6:$J$138)*7,0))</f>
        <v>1</v>
      </c>
      <c r="M46" s="3" t="str">
        <f>IF($E46=0,"",IF($L46&gt;=6,"Priority 1",IF($L46&gt;=5,"Priority 2",IF($L46&gt;=3,"Watch","Low"))))</f>
        <v>Low</v>
      </c>
      <c r="N46" s="37" t="str">
        <f>IF($E46=0,"",IF(AND($F46&gt;='Opportunity Controls'!$B$15,$L46&gt;=6),"YES",""))</f>
        <v/>
      </c>
      <c r="O46" s="34">
        <f>IF($E46=0,0,$H46*$I46)</f>
        <v>8.419905992263045</v>
      </c>
    </row>
    <row r="47" spans="1:15">
      <c r="A47" s="22" t="str">
        <f>'Historical FY16-FY25'!A46</f>
        <v>Hanover County</v>
      </c>
      <c r="B47" s="22" t="str">
        <f>'Historical FY16-FY25'!B46</f>
        <v>County</v>
      </c>
      <c r="C47" s="3" t="s">
        <v>308</v>
      </c>
      <c r="D47" s="33" t="s">
        <v>260</v>
      </c>
      <c r="E47" s="3">
        <f>IF(OR('Opportunity Controls'!$B$16="Both",AND('Opportunity Controls'!$B$16="Counties",$B47="County"),AND('Opportunity Controls'!$B$16="Cities",$B47="City")),1,0)</f>
        <v>1</v>
      </c>
      <c r="F47" s="23">
        <f>'Schools 1pct Profile'!E47</f>
        <v>40147137.810075164</v>
      </c>
      <c r="G47" s="23">
        <f>'Schools 1pct Profile'!H47</f>
        <v>1260464065.6283431</v>
      </c>
      <c r="H47" s="34">
        <f>IFERROR(($G47/MAX($G$6:$G$138))^'Opportunity Controls'!$B$14*100,0)</f>
        <v>49.888531227465272</v>
      </c>
      <c r="I47" s="35">
        <f>IFERROR(INDEX('Opportunity Controls'!$B$6:$B$9,MATCH($D47,'Opportunity Controls'!$A$6:$A$9,0)),1)</f>
        <v>0.7</v>
      </c>
      <c r="J47" s="34">
        <f>IF($E47=0,"",$H47*$I47)</f>
        <v>34.921971859225685</v>
      </c>
      <c r="K47" s="36">
        <f>IF($E47=0,"",RANK($J47,$J$6:$J$138))</f>
        <v>7</v>
      </c>
      <c r="L47" s="36">
        <f>IF($E47=0,"",8-ROUNDUP($K47/COUNT($J$6:$J$138)*7,0))</f>
        <v>7</v>
      </c>
      <c r="M47" s="3" t="str">
        <f>IF($E47=0,"",IF($L47&gt;=6,"Priority 1",IF($L47&gt;=5,"Priority 2",IF($L47&gt;=3,"Watch","Low"))))</f>
        <v>Priority 1</v>
      </c>
      <c r="N47" s="37" t="str">
        <f>IF($E47=0,"",IF(AND($F47&gt;='Opportunity Controls'!$B$15,$L47&gt;=6),"YES",""))</f>
        <v>YES</v>
      </c>
      <c r="O47" s="34">
        <f>IF($E47=0,0,$H47*$I47)</f>
        <v>34.921971859225685</v>
      </c>
    </row>
    <row r="48" spans="1:15">
      <c r="A48" s="22" t="str">
        <f>'Historical FY16-FY25'!A47</f>
        <v>Henrico County</v>
      </c>
      <c r="B48" s="22" t="str">
        <f>'Historical FY16-FY25'!B47</f>
        <v>County</v>
      </c>
      <c r="C48" s="3" t="s">
        <v>308</v>
      </c>
      <c r="D48" s="33" t="s">
        <v>260</v>
      </c>
      <c r="E48" s="3">
        <f>IF(OR('Opportunity Controls'!$B$16="Both",AND('Opportunity Controls'!$B$16="Counties",$B48="County"),AND('Opportunity Controls'!$B$16="Cities",$B48="City")),1,0)</f>
        <v>1</v>
      </c>
      <c r="F48" s="23">
        <f>'Schools 1pct Profile'!E48</f>
        <v>105166272.87125285</v>
      </c>
      <c r="G48" s="23">
        <f>'Schools 1pct Profile'!H48</f>
        <v>3115375007.0100279</v>
      </c>
      <c r="H48" s="34">
        <f>IFERROR(($G48/MAX($G$6:$G$138))^'Opportunity Controls'!$B$14*100,0)</f>
        <v>70.361172150547247</v>
      </c>
      <c r="I48" s="35">
        <f>IFERROR(INDEX('Opportunity Controls'!$B$6:$B$9,MATCH($D48,'Opportunity Controls'!$A$6:$A$9,0)),1)</f>
        <v>0.7</v>
      </c>
      <c r="J48" s="34">
        <f>IF($E48=0,"",$H48*$I48)</f>
        <v>49.25282050538307</v>
      </c>
      <c r="K48" s="36">
        <f>IF($E48=0,"",RANK($J48,$J$6:$J$138))</f>
        <v>5</v>
      </c>
      <c r="L48" s="36">
        <f>IF($E48=0,"",8-ROUNDUP($K48/COUNT($J$6:$J$138)*7,0))</f>
        <v>7</v>
      </c>
      <c r="M48" s="3" t="str">
        <f>IF($E48=0,"",IF($L48&gt;=6,"Priority 1",IF($L48&gt;=5,"Priority 2",IF($L48&gt;=3,"Watch","Low"))))</f>
        <v>Priority 1</v>
      </c>
      <c r="N48" s="37" t="str">
        <f>IF($E48=0,"",IF(AND($F48&gt;='Opportunity Controls'!$B$15,$L48&gt;=6),"YES",""))</f>
        <v>YES</v>
      </c>
      <c r="O48" s="34">
        <f>IF($E48=0,0,$H48*$I48)</f>
        <v>49.25282050538307</v>
      </c>
    </row>
    <row r="49" spans="1:15">
      <c r="A49" s="22" t="str">
        <f>'Historical FY16-FY25'!A48</f>
        <v>Henry County</v>
      </c>
      <c r="B49" s="22" t="str">
        <f>'Historical FY16-FY25'!B48</f>
        <v>County</v>
      </c>
      <c r="C49" s="3" t="s">
        <v>309</v>
      </c>
      <c r="D49" s="33" t="s">
        <v>262</v>
      </c>
      <c r="E49" s="3">
        <f>IF(OR('Opportunity Controls'!$B$16="Both",AND('Opportunity Controls'!$B$16="Counties",$B49="County"),AND('Opportunity Controls'!$B$16="Cities",$B49="City")),1,0)</f>
        <v>1</v>
      </c>
      <c r="F49" s="23">
        <f>'Schools 1pct Profile'!E49</f>
        <v>7429840.0601549121</v>
      </c>
      <c r="G49" s="23">
        <f>'Schools 1pct Profile'!H49</f>
        <v>210690141.43227077</v>
      </c>
      <c r="H49" s="34">
        <f>IFERROR(($G49/MAX($G$6:$G$138))^'Opportunity Controls'!$B$14*100,0)</f>
        <v>25.280400005433179</v>
      </c>
      <c r="I49" s="35">
        <f>IFERROR(INDEX('Opportunity Controls'!$B$6:$B$9,MATCH($D49,'Opportunity Controls'!$A$6:$A$9,0)),1)</f>
        <v>0.35</v>
      </c>
      <c r="J49" s="34">
        <f>IF($E49=0,"",$H49*$I49)</f>
        <v>8.8481400019016121</v>
      </c>
      <c r="K49" s="36">
        <f>IF($E49=0,"",RANK($J49,$J$6:$J$138))</f>
        <v>82</v>
      </c>
      <c r="L49" s="36">
        <f>IF($E49=0,"",8-ROUNDUP($K49/COUNT($J$6:$J$138)*7,0))</f>
        <v>1</v>
      </c>
      <c r="M49" s="3" t="str">
        <f>IF($E49=0,"",IF($L49&gt;=6,"Priority 1",IF($L49&gt;=5,"Priority 2",IF($L49&gt;=3,"Watch","Low"))))</f>
        <v>Low</v>
      </c>
      <c r="N49" s="37" t="str">
        <f>IF($E49=0,"",IF(AND($F49&gt;='Opportunity Controls'!$B$15,$L49&gt;=6),"YES",""))</f>
        <v/>
      </c>
      <c r="O49" s="34">
        <f>IF($E49=0,0,$H49*$I49)</f>
        <v>8.8481400019016121</v>
      </c>
    </row>
    <row r="50" spans="1:15">
      <c r="A50" s="22" t="str">
        <f>'Historical FY16-FY25'!A49</f>
        <v>Highland County</v>
      </c>
      <c r="B50" s="22" t="str">
        <f>'Historical FY16-FY25'!B49</f>
        <v>County</v>
      </c>
      <c r="C50" s="3" t="s">
        <v>307</v>
      </c>
      <c r="D50" s="33" t="s">
        <v>260</v>
      </c>
      <c r="E50" s="3">
        <f>IF(OR('Opportunity Controls'!$B$16="Both",AND('Opportunity Controls'!$B$16="Counties",$B50="County"),AND('Opportunity Controls'!$B$16="Cities",$B50="City")),1,0)</f>
        <v>1</v>
      </c>
      <c r="F50" s="23">
        <f>'Schools 1pct Profile'!E50</f>
        <v>258755.64489389953</v>
      </c>
      <c r="G50" s="23">
        <f>'Schools 1pct Profile'!H50</f>
        <v>8031372.2613460459</v>
      </c>
      <c r="H50" s="34">
        <f>IFERROR(($G50/MAX($G$6:$G$138))^'Opportunity Controls'!$B$14*100,0)</f>
        <v>7.3049836329768265</v>
      </c>
      <c r="I50" s="35">
        <f>IFERROR(INDEX('Opportunity Controls'!$B$6:$B$9,MATCH($D50,'Opportunity Controls'!$A$6:$A$9,0)),1)</f>
        <v>0.7</v>
      </c>
      <c r="J50" s="34">
        <f>IF($E50=0,"",$H50*$I50)</f>
        <v>5.1134885430837782</v>
      </c>
      <c r="K50" s="36">
        <f>IF($E50=0,"",RANK($J50,$J$6:$J$138))</f>
        <v>94</v>
      </c>
      <c r="L50" s="36">
        <f>IF($E50=0,"",8-ROUNDUP($K50/COUNT($J$6:$J$138)*7,0))</f>
        <v>1</v>
      </c>
      <c r="M50" s="3" t="str">
        <f>IF($E50=0,"",IF($L50&gt;=6,"Priority 1",IF($L50&gt;=5,"Priority 2",IF($L50&gt;=3,"Watch","Low"))))</f>
        <v>Low</v>
      </c>
      <c r="N50" s="37" t="str">
        <f>IF($E50=0,"",IF(AND($F50&gt;='Opportunity Controls'!$B$15,$L50&gt;=6),"YES",""))</f>
        <v/>
      </c>
      <c r="O50" s="34">
        <f>IF($E50=0,0,$H50*$I50)</f>
        <v>5.1134885430837782</v>
      </c>
    </row>
    <row r="51" spans="1:15">
      <c r="A51" s="22" t="str">
        <f>'Historical FY16-FY25'!A50</f>
        <v>Isle of Wight County</v>
      </c>
      <c r="B51" s="22" t="str">
        <f>'Historical FY16-FY25'!B50</f>
        <v>County</v>
      </c>
      <c r="C51" s="3" t="s">
        <v>314</v>
      </c>
      <c r="D51" s="33" t="s">
        <v>260</v>
      </c>
      <c r="E51" s="3">
        <f>IF(OR('Opportunity Controls'!$B$16="Both",AND('Opportunity Controls'!$B$16="Counties",$B51="County"),AND('Opportunity Controls'!$B$16="Cities",$B51="City")),1,0)</f>
        <v>1</v>
      </c>
      <c r="F51" s="23">
        <f>'Schools 1pct Profile'!E51</f>
        <v>6594426.9728881791</v>
      </c>
      <c r="G51" s="23">
        <f>'Schools 1pct Profile'!H51</f>
        <v>224478086.44938752</v>
      </c>
      <c r="H51" s="34">
        <f>IFERROR(($G51/MAX($G$6:$G$138))^'Opportunity Controls'!$B$14*100,0)</f>
        <v>25.896748638899037</v>
      </c>
      <c r="I51" s="35">
        <f>IFERROR(INDEX('Opportunity Controls'!$B$6:$B$9,MATCH($D51,'Opportunity Controls'!$A$6:$A$9,0)),1)</f>
        <v>0.7</v>
      </c>
      <c r="J51" s="34">
        <f>IF($E51=0,"",$H51*$I51)</f>
        <v>18.127724047229325</v>
      </c>
      <c r="K51" s="36">
        <f>IF($E51=0,"",RANK($J51,$J$6:$J$138))</f>
        <v>36</v>
      </c>
      <c r="L51" s="36">
        <f>IF($E51=0,"",8-ROUNDUP($K51/COUNT($J$6:$J$138)*7,0))</f>
        <v>5</v>
      </c>
      <c r="M51" s="3" t="str">
        <f>IF($E51=0,"",IF($L51&gt;=6,"Priority 1",IF($L51&gt;=5,"Priority 2",IF($L51&gt;=3,"Watch","Low"))))</f>
        <v>Priority 2</v>
      </c>
      <c r="N51" s="37" t="str">
        <f>IF($E51=0,"",IF(AND($F51&gt;='Opportunity Controls'!$B$15,$L51&gt;=6),"YES",""))</f>
        <v/>
      </c>
      <c r="O51" s="34">
        <f>IF($E51=0,0,$H51*$I51)</f>
        <v>18.127724047229325</v>
      </c>
    </row>
    <row r="52" spans="1:15">
      <c r="A52" s="22" t="str">
        <f>'Historical FY16-FY25'!A51</f>
        <v>James City County</v>
      </c>
      <c r="B52" s="22" t="str">
        <f>'Historical FY16-FY25'!B51</f>
        <v>County</v>
      </c>
      <c r="C52" s="3" t="s">
        <v>314</v>
      </c>
      <c r="D52" s="33" t="s">
        <v>260</v>
      </c>
      <c r="E52" s="3">
        <f>IF(OR('Opportunity Controls'!$B$16="Both",AND('Opportunity Controls'!$B$16="Counties",$B52="County"),AND('Opportunity Controls'!$B$16="Cities",$B52="City")),1,0)</f>
        <v>1</v>
      </c>
      <c r="F52" s="23">
        <f>'Schools 1pct Profile'!E52</f>
        <v>17083775.088437434</v>
      </c>
      <c r="G52" s="23">
        <f>'Schools 1pct Profile'!H52</f>
        <v>506589498.38012183</v>
      </c>
      <c r="H52" s="34">
        <f>IFERROR(($G52/MAX($G$6:$G$138))^'Opportunity Controls'!$B$14*100,0)</f>
        <v>35.283242469602108</v>
      </c>
      <c r="I52" s="35">
        <f>IFERROR(INDEX('Opportunity Controls'!$B$6:$B$9,MATCH($D52,'Opportunity Controls'!$A$6:$A$9,0)),1)</f>
        <v>0.7</v>
      </c>
      <c r="J52" s="34">
        <f>IF($E52=0,"",$H52*$I52)</f>
        <v>24.698269728721474</v>
      </c>
      <c r="K52" s="36">
        <f>IF($E52=0,"",RANK($J52,$J$6:$J$138))</f>
        <v>22</v>
      </c>
      <c r="L52" s="36">
        <f>IF($E52=0,"",8-ROUNDUP($K52/COUNT($J$6:$J$138)*7,0))</f>
        <v>6</v>
      </c>
      <c r="M52" s="3" t="str">
        <f>IF($E52=0,"",IF($L52&gt;=6,"Priority 1",IF($L52&gt;=5,"Priority 2",IF($L52&gt;=3,"Watch","Low"))))</f>
        <v>Priority 1</v>
      </c>
      <c r="N52" s="37" t="str">
        <f>IF($E52=0,"",IF(AND($F52&gt;='Opportunity Controls'!$B$15,$L52&gt;=6),"YES",""))</f>
        <v>YES</v>
      </c>
      <c r="O52" s="34">
        <f>IF($E52=0,0,$H52*$I52)</f>
        <v>24.698269728721474</v>
      </c>
    </row>
    <row r="53" spans="1:15">
      <c r="A53" s="22" t="str">
        <f>'Historical FY16-FY25'!A52</f>
        <v>King George County</v>
      </c>
      <c r="B53" s="22" t="str">
        <f>'Historical FY16-FY25'!B52</f>
        <v>County</v>
      </c>
      <c r="C53" s="3" t="s">
        <v>310</v>
      </c>
      <c r="D53" s="33" t="s">
        <v>260</v>
      </c>
      <c r="E53" s="3">
        <f>IF(OR('Opportunity Controls'!$B$16="Both",AND('Opportunity Controls'!$B$16="Counties",$B53="County"),AND('Opportunity Controls'!$B$16="Cities",$B53="City")),1,0)</f>
        <v>1</v>
      </c>
      <c r="F53" s="23">
        <f>'Schools 1pct Profile'!E53</f>
        <v>5282676.7240524581</v>
      </c>
      <c r="G53" s="23">
        <f>'Schools 1pct Profile'!H53</f>
        <v>175392751.86581913</v>
      </c>
      <c r="H53" s="34">
        <f>IFERROR(($G53/MAX($G$6:$G$138))^'Opportunity Controls'!$B$14*100,0)</f>
        <v>23.578901262138892</v>
      </c>
      <c r="I53" s="35">
        <f>IFERROR(INDEX('Opportunity Controls'!$B$6:$B$9,MATCH($D53,'Opportunity Controls'!$A$6:$A$9,0)),1)</f>
        <v>0.7</v>
      </c>
      <c r="J53" s="34">
        <f>IF($E53=0,"",$H53*$I53)</f>
        <v>16.505230883497223</v>
      </c>
      <c r="K53" s="36">
        <f>IF($E53=0,"",RANK($J53,$J$6:$J$138))</f>
        <v>41</v>
      </c>
      <c r="L53" s="36">
        <f>IF($E53=0,"",8-ROUNDUP($K53/COUNT($J$6:$J$138)*7,0))</f>
        <v>4</v>
      </c>
      <c r="M53" s="3" t="str">
        <f>IF($E53=0,"",IF($L53&gt;=6,"Priority 1",IF($L53&gt;=5,"Priority 2",IF($L53&gt;=3,"Watch","Low"))))</f>
        <v>Watch</v>
      </c>
      <c r="N53" s="37" t="str">
        <f>IF($E53=0,"",IF(AND($F53&gt;='Opportunity Controls'!$B$15,$L53&gt;=6),"YES",""))</f>
        <v/>
      </c>
      <c r="O53" s="34">
        <f>IF($E53=0,0,$H53*$I53)</f>
        <v>16.505230883497223</v>
      </c>
    </row>
    <row r="54" spans="1:15">
      <c r="A54" s="22" t="str">
        <f>'Historical FY16-FY25'!A53</f>
        <v>King William County</v>
      </c>
      <c r="B54" s="22" t="str">
        <f>'Historical FY16-FY25'!B53</f>
        <v>County</v>
      </c>
      <c r="C54" s="3" t="s">
        <v>313</v>
      </c>
      <c r="D54" s="33" t="s">
        <v>260</v>
      </c>
      <c r="E54" s="3">
        <f>IF(OR('Opportunity Controls'!$B$16="Both",AND('Opportunity Controls'!$B$16="Counties",$B54="County"),AND('Opportunity Controls'!$B$16="Cities",$B54="City")),1,0)</f>
        <v>1</v>
      </c>
      <c r="F54" s="23">
        <f>'Schools 1pct Profile'!E54</f>
        <v>2667715.7571320478</v>
      </c>
      <c r="G54" s="23">
        <f>'Schools 1pct Profile'!H54</f>
        <v>83835728.023485944</v>
      </c>
      <c r="H54" s="34">
        <f>IFERROR(($G54/MAX($G$6:$G$138))^'Opportunity Controls'!$B$14*100,0)</f>
        <v>17.811570452473614</v>
      </c>
      <c r="I54" s="35">
        <f>IFERROR(INDEX('Opportunity Controls'!$B$6:$B$9,MATCH($D54,'Opportunity Controls'!$A$6:$A$9,0)),1)</f>
        <v>0.7</v>
      </c>
      <c r="J54" s="34">
        <f>IF($E54=0,"",$H54*$I54)</f>
        <v>12.468099316731529</v>
      </c>
      <c r="K54" s="36">
        <f>IF($E54=0,"",RANK($J54,$J$6:$J$138))</f>
        <v>59</v>
      </c>
      <c r="L54" s="36">
        <f>IF($E54=0,"",8-ROUNDUP($K54/COUNT($J$6:$J$138)*7,0))</f>
        <v>3</v>
      </c>
      <c r="M54" s="3" t="str">
        <f>IF($E54=0,"",IF($L54&gt;=6,"Priority 1",IF($L54&gt;=5,"Priority 2",IF($L54&gt;=3,"Watch","Low"))))</f>
        <v>Watch</v>
      </c>
      <c r="N54" s="37" t="str">
        <f>IF($E54=0,"",IF(AND($F54&gt;='Opportunity Controls'!$B$15,$L54&gt;=6),"YES",""))</f>
        <v/>
      </c>
      <c r="O54" s="34">
        <f>IF($E54=0,0,$H54*$I54)</f>
        <v>12.468099316731529</v>
      </c>
    </row>
    <row r="55" spans="1:15">
      <c r="A55" s="22" t="str">
        <f>'Historical FY16-FY25'!A54</f>
        <v>King and Queen County</v>
      </c>
      <c r="B55" s="22" t="str">
        <f>'Historical FY16-FY25'!B54</f>
        <v>County</v>
      </c>
      <c r="C55" s="3" t="s">
        <v>313</v>
      </c>
      <c r="D55" s="33" t="s">
        <v>256</v>
      </c>
      <c r="E55" s="3">
        <f>IF(OR('Opportunity Controls'!$B$16="Both",AND('Opportunity Controls'!$B$16="Counties",$B55="County"),AND('Opportunity Controls'!$B$16="Cities",$B55="City")),1,0)</f>
        <v>1</v>
      </c>
      <c r="F55" s="23">
        <f>'Schools 1pct Profile'!E55</f>
        <v>489242.13003058714</v>
      </c>
      <c r="G55" s="23">
        <f>'Schools 1pct Profile'!H55</f>
        <v>13708934.766023342</v>
      </c>
      <c r="H55" s="34">
        <f>IFERROR(($G55/MAX($G$6:$G$138))^'Opportunity Controls'!$B$14*100,0)</f>
        <v>8.9507731321285444</v>
      </c>
      <c r="I55" s="35">
        <f>IFERROR(INDEX('Opportunity Controls'!$B$6:$B$9,MATCH($D55,'Opportunity Controls'!$A$6:$A$9,0)),1)</f>
        <v>1</v>
      </c>
      <c r="J55" s="34">
        <f>IF($E55=0,"",$H55*$I55)</f>
        <v>8.9507731321285444</v>
      </c>
      <c r="K55" s="36">
        <f>IF($E55=0,"",RANK($J55,$J$6:$J$138))</f>
        <v>81</v>
      </c>
      <c r="L55" s="36">
        <f>IF($E55=0,"",8-ROUNDUP($K55/COUNT($J$6:$J$138)*7,0))</f>
        <v>2</v>
      </c>
      <c r="M55" s="3" t="str">
        <f>IF($E55=0,"",IF($L55&gt;=6,"Priority 1",IF($L55&gt;=5,"Priority 2",IF($L55&gt;=3,"Watch","Low"))))</f>
        <v>Low</v>
      </c>
      <c r="N55" s="37" t="str">
        <f>IF($E55=0,"",IF(AND($F55&gt;='Opportunity Controls'!$B$15,$L55&gt;=6),"YES",""))</f>
        <v/>
      </c>
      <c r="O55" s="34">
        <f>IF($E55=0,0,$H55*$I55)</f>
        <v>8.9507731321285444</v>
      </c>
    </row>
    <row r="56" spans="1:15">
      <c r="A56" s="22" t="str">
        <f>'Historical FY16-FY25'!A55</f>
        <v>Lancaster County</v>
      </c>
      <c r="B56" s="22" t="str">
        <f>'Historical FY16-FY25'!B55</f>
        <v>County</v>
      </c>
      <c r="C56" s="3" t="s">
        <v>313</v>
      </c>
      <c r="D56" s="33" t="s">
        <v>260</v>
      </c>
      <c r="E56" s="3">
        <f>IF(OR('Opportunity Controls'!$B$16="Both",AND('Opportunity Controls'!$B$16="Counties",$B56="County"),AND('Opportunity Controls'!$B$16="Cities",$B56="City")),1,0)</f>
        <v>1</v>
      </c>
      <c r="F56" s="23">
        <f>'Schools 1pct Profile'!E56</f>
        <v>3249731.2015415234</v>
      </c>
      <c r="G56" s="23">
        <f>'Schools 1pct Profile'!H56</f>
        <v>102114896.13674173</v>
      </c>
      <c r="H56" s="34">
        <f>IFERROR(($G56/MAX($G$6:$G$138))^'Opportunity Controls'!$B$14*100,0)</f>
        <v>19.197867848036115</v>
      </c>
      <c r="I56" s="35">
        <f>IFERROR(INDEX('Opportunity Controls'!$B$6:$B$9,MATCH($D56,'Opportunity Controls'!$A$6:$A$9,0)),1)</f>
        <v>0.7</v>
      </c>
      <c r="J56" s="34">
        <f>IF($E56=0,"",$H56*$I56)</f>
        <v>13.438507493625279</v>
      </c>
      <c r="K56" s="36">
        <f>IF($E56=0,"",RANK($J56,$J$6:$J$138))</f>
        <v>54</v>
      </c>
      <c r="L56" s="36">
        <f>IF($E56=0,"",8-ROUNDUP($K56/COUNT($J$6:$J$138)*7,0))</f>
        <v>4</v>
      </c>
      <c r="M56" s="3" t="str">
        <f>IF($E56=0,"",IF($L56&gt;=6,"Priority 1",IF($L56&gt;=5,"Priority 2",IF($L56&gt;=3,"Watch","Low"))))</f>
        <v>Watch</v>
      </c>
      <c r="N56" s="37" t="str">
        <f>IF($E56=0,"",IF(AND($F56&gt;='Opportunity Controls'!$B$15,$L56&gt;=6),"YES",""))</f>
        <v/>
      </c>
      <c r="O56" s="34">
        <f>IF($E56=0,0,$H56*$I56)</f>
        <v>13.438507493625279</v>
      </c>
    </row>
    <row r="57" spans="1:15">
      <c r="A57" s="22" t="str">
        <f>'Historical FY16-FY25'!A56</f>
        <v>Lee County</v>
      </c>
      <c r="B57" s="22" t="str">
        <f>'Historical FY16-FY25'!B56</f>
        <v>County</v>
      </c>
      <c r="C57" s="3" t="s">
        <v>311</v>
      </c>
      <c r="D57" s="33" t="s">
        <v>260</v>
      </c>
      <c r="E57" s="3">
        <f>IF(OR('Opportunity Controls'!$B$16="Both",AND('Opportunity Controls'!$B$16="Counties",$B57="County"),AND('Opportunity Controls'!$B$16="Cities",$B57="City")),1,0)</f>
        <v>1</v>
      </c>
      <c r="F57" s="23">
        <f>'Schools 1pct Profile'!E57</f>
        <v>2332180.3360034176</v>
      </c>
      <c r="G57" s="23">
        <f>'Schools 1pct Profile'!H57</f>
        <v>65116593.164709762</v>
      </c>
      <c r="H57" s="34">
        <f>IFERROR(($G57/MAX($G$6:$G$138))^'Opportunity Controls'!$B$14*100,0)</f>
        <v>16.180873947787198</v>
      </c>
      <c r="I57" s="35">
        <f>IFERROR(INDEX('Opportunity Controls'!$B$6:$B$9,MATCH($D57,'Opportunity Controls'!$A$6:$A$9,0)),1)</f>
        <v>0.7</v>
      </c>
      <c r="J57" s="34">
        <f>IF($E57=0,"",$H57*$I57)</f>
        <v>11.326611763451037</v>
      </c>
      <c r="K57" s="36">
        <f>IF($E57=0,"",RANK($J57,$J$6:$J$138))</f>
        <v>66</v>
      </c>
      <c r="L57" s="36">
        <f>IF($E57=0,"",8-ROUNDUP($K57/COUNT($J$6:$J$138)*7,0))</f>
        <v>3</v>
      </c>
      <c r="M57" s="3" t="str">
        <f>IF($E57=0,"",IF($L57&gt;=6,"Priority 1",IF($L57&gt;=5,"Priority 2",IF($L57&gt;=3,"Watch","Low"))))</f>
        <v>Watch</v>
      </c>
      <c r="N57" s="37" t="str">
        <f>IF($E57=0,"",IF(AND($F57&gt;='Opportunity Controls'!$B$15,$L57&gt;=6),"YES",""))</f>
        <v/>
      </c>
      <c r="O57" s="34">
        <f>IF($E57=0,0,$H57*$I57)</f>
        <v>11.326611763451037</v>
      </c>
    </row>
    <row r="58" spans="1:15">
      <c r="A58" s="22" t="str">
        <f>'Historical FY16-FY25'!A57</f>
        <v>Loudoun County</v>
      </c>
      <c r="B58" s="22" t="str">
        <f>'Historical FY16-FY25'!B57</f>
        <v>County</v>
      </c>
      <c r="C58" s="3" t="s">
        <v>310</v>
      </c>
      <c r="D58" s="33" t="s">
        <v>260</v>
      </c>
      <c r="E58" s="3">
        <f>IF(OR('Opportunity Controls'!$B$16="Both",AND('Opportunity Controls'!$B$16="Counties",$B58="County"),AND('Opportunity Controls'!$B$16="Cities",$B58="City")),1,0)</f>
        <v>1</v>
      </c>
      <c r="F58" s="23">
        <f>'Schools 1pct Profile'!E58</f>
        <v>132564694.18501107</v>
      </c>
      <c r="G58" s="23">
        <f>'Schools 1pct Profile'!H58</f>
        <v>4042572292.4391527</v>
      </c>
      <c r="H58" s="34">
        <f>IFERROR(($G58/MAX($G$6:$G$138))^'Opportunity Controls'!$B$14*100,0)</f>
        <v>77.683556815111956</v>
      </c>
      <c r="I58" s="35">
        <f>IFERROR(INDEX('Opportunity Controls'!$B$6:$B$9,MATCH($D58,'Opportunity Controls'!$A$6:$A$9,0)),1)</f>
        <v>0.7</v>
      </c>
      <c r="J58" s="34">
        <f>IF($E58=0,"",$H58*$I58)</f>
        <v>54.378489770578369</v>
      </c>
      <c r="K58" s="36">
        <f>IF($E58=0,"",RANK($J58,$J$6:$J$138))</f>
        <v>4</v>
      </c>
      <c r="L58" s="36">
        <f>IF($E58=0,"",8-ROUNDUP($K58/COUNT($J$6:$J$138)*7,0))</f>
        <v>7</v>
      </c>
      <c r="M58" s="3" t="str">
        <f>IF($E58=0,"",IF($L58&gt;=6,"Priority 1",IF($L58&gt;=5,"Priority 2",IF($L58&gt;=3,"Watch","Low"))))</f>
        <v>Priority 1</v>
      </c>
      <c r="N58" s="37" t="str">
        <f>IF($E58=0,"",IF(AND($F58&gt;='Opportunity Controls'!$B$15,$L58&gt;=6),"YES",""))</f>
        <v>YES</v>
      </c>
      <c r="O58" s="34">
        <f>IF($E58=0,0,$H58*$I58)</f>
        <v>54.378489770578369</v>
      </c>
    </row>
    <row r="59" spans="1:15">
      <c r="A59" s="22" t="str">
        <f>'Historical FY16-FY25'!A58</f>
        <v>Louisa County</v>
      </c>
      <c r="B59" s="22" t="str">
        <f>'Historical FY16-FY25'!B58</f>
        <v>County</v>
      </c>
      <c r="C59" s="3" t="s">
        <v>306</v>
      </c>
      <c r="D59" s="33" t="s">
        <v>260</v>
      </c>
      <c r="E59" s="3">
        <f>IF(OR('Opportunity Controls'!$B$16="Both",AND('Opportunity Controls'!$B$16="Counties",$B59="County"),AND('Opportunity Controls'!$B$16="Cities",$B59="City")),1,0)</f>
        <v>1</v>
      </c>
      <c r="F59" s="23">
        <f>'Schools 1pct Profile'!E59</f>
        <v>8317554.6864050115</v>
      </c>
      <c r="G59" s="23">
        <f>'Schools 1pct Profile'!H59</f>
        <v>288932692.95943171</v>
      </c>
      <c r="H59" s="34">
        <f>IFERROR(($G59/MAX($G$6:$G$138))^'Opportunity Controls'!$B$14*100,0)</f>
        <v>28.503742124692266</v>
      </c>
      <c r="I59" s="35">
        <f>IFERROR(INDEX('Opportunity Controls'!$B$6:$B$9,MATCH($D59,'Opportunity Controls'!$A$6:$A$9,0)),1)</f>
        <v>0.7</v>
      </c>
      <c r="J59" s="34">
        <f>IF($E59=0,"",$H59*$I59)</f>
        <v>19.952619487284586</v>
      </c>
      <c r="K59" s="36">
        <f>IF($E59=0,"",RANK($J59,$J$6:$J$138))</f>
        <v>30</v>
      </c>
      <c r="L59" s="36">
        <f>IF($E59=0,"",8-ROUNDUP($K59/COUNT($J$6:$J$138)*7,0))</f>
        <v>5</v>
      </c>
      <c r="M59" s="3" t="str">
        <f>IF($E59=0,"",IF($L59&gt;=6,"Priority 1",IF($L59&gt;=5,"Priority 2",IF($L59&gt;=3,"Watch","Low"))))</f>
        <v>Priority 2</v>
      </c>
      <c r="N59" s="37" t="str">
        <f>IF($E59=0,"",IF(AND($F59&gt;='Opportunity Controls'!$B$15,$L59&gt;=6),"YES",""))</f>
        <v/>
      </c>
      <c r="O59" s="34">
        <f>IF($E59=0,0,$H59*$I59)</f>
        <v>19.952619487284586</v>
      </c>
    </row>
    <row r="60" spans="1:15">
      <c r="A60" s="22" t="str">
        <f>'Historical FY16-FY25'!A59</f>
        <v>Lunenburg County</v>
      </c>
      <c r="B60" s="22" t="str">
        <f>'Historical FY16-FY25'!B59</f>
        <v>County</v>
      </c>
      <c r="C60" s="3" t="s">
        <v>309</v>
      </c>
      <c r="D60" s="33" t="s">
        <v>260</v>
      </c>
      <c r="E60" s="3">
        <f>IF(OR('Opportunity Controls'!$B$16="Both",AND('Opportunity Controls'!$B$16="Counties",$B60="County"),AND('Opportunity Controls'!$B$16="Cities",$B60="City")),1,0)</f>
        <v>1</v>
      </c>
      <c r="F60" s="23">
        <f>'Schools 1pct Profile'!E60</f>
        <v>1018851.3955836188</v>
      </c>
      <c r="G60" s="23">
        <f>'Schools 1pct Profile'!H60</f>
        <v>31341166.289789077</v>
      </c>
      <c r="H60" s="34">
        <f>IFERROR(($G60/MAX($G$6:$G$138))^'Opportunity Controls'!$B$14*100,0)</f>
        <v>12.255270407764831</v>
      </c>
      <c r="I60" s="35">
        <f>IFERROR(INDEX('Opportunity Controls'!$B$6:$B$9,MATCH($D60,'Opportunity Controls'!$A$6:$A$9,0)),1)</f>
        <v>0.7</v>
      </c>
      <c r="J60" s="34">
        <f>IF($E60=0,"",$H60*$I60)</f>
        <v>8.5786892854353809</v>
      </c>
      <c r="K60" s="36">
        <f>IF($E60=0,"",RANK($J60,$J$6:$J$138))</f>
        <v>83</v>
      </c>
      <c r="L60" s="36">
        <f>IF($E60=0,"",8-ROUNDUP($K60/COUNT($J$6:$J$138)*7,0))</f>
        <v>1</v>
      </c>
      <c r="M60" s="3" t="str">
        <f>IF($E60=0,"",IF($L60&gt;=6,"Priority 1",IF($L60&gt;=5,"Priority 2",IF($L60&gt;=3,"Watch","Low"))))</f>
        <v>Low</v>
      </c>
      <c r="N60" s="37" t="str">
        <f>IF($E60=0,"",IF(AND($F60&gt;='Opportunity Controls'!$B$15,$L60&gt;=6),"YES",""))</f>
        <v/>
      </c>
      <c r="O60" s="34">
        <f>IF($E60=0,0,$H60*$I60)</f>
        <v>8.5786892854353809</v>
      </c>
    </row>
    <row r="61" spans="1:15">
      <c r="A61" s="22" t="str">
        <f>'Historical FY16-FY25'!A60</f>
        <v>Madison County</v>
      </c>
      <c r="B61" s="22" t="str">
        <f>'Historical FY16-FY25'!B60</f>
        <v>County</v>
      </c>
      <c r="C61" s="3" t="s">
        <v>306</v>
      </c>
      <c r="D61" s="33" t="s">
        <v>260</v>
      </c>
      <c r="E61" s="3">
        <f>IF(OR('Opportunity Controls'!$B$16="Both",AND('Opportunity Controls'!$B$16="Counties",$B61="County"),AND('Opportunity Controls'!$B$16="Cities",$B61="City")),1,0)</f>
        <v>1</v>
      </c>
      <c r="F61" s="23">
        <f>'Schools 1pct Profile'!E61</f>
        <v>1909138.1586117384</v>
      </c>
      <c r="G61" s="23">
        <f>'Schools 1pct Profile'!H61</f>
        <v>58570175.056204528</v>
      </c>
      <c r="H61" s="34">
        <f>IFERROR(($G61/MAX($G$6:$G$138))^'Opportunity Controls'!$B$14*100,0)</f>
        <v>15.542333306669454</v>
      </c>
      <c r="I61" s="35">
        <f>IFERROR(INDEX('Opportunity Controls'!$B$6:$B$9,MATCH($D61,'Opportunity Controls'!$A$6:$A$9,0)),1)</f>
        <v>0.7</v>
      </c>
      <c r="J61" s="34">
        <f>IF($E61=0,"",$H61*$I61)</f>
        <v>10.879633314668617</v>
      </c>
      <c r="K61" s="36">
        <f>IF($E61=0,"",RANK($J61,$J$6:$J$138))</f>
        <v>68</v>
      </c>
      <c r="L61" s="36">
        <f>IF($E61=0,"",8-ROUNDUP($K61/COUNT($J$6:$J$138)*7,0))</f>
        <v>2</v>
      </c>
      <c r="M61" s="3" t="str">
        <f>IF($E61=0,"",IF($L61&gt;=6,"Priority 1",IF($L61&gt;=5,"Priority 2",IF($L61&gt;=3,"Watch","Low"))))</f>
        <v>Low</v>
      </c>
      <c r="N61" s="37" t="str">
        <f>IF($E61=0,"",IF(AND($F61&gt;='Opportunity Controls'!$B$15,$L61&gt;=6),"YES",""))</f>
        <v/>
      </c>
      <c r="O61" s="34">
        <f>IF($E61=0,0,$H61*$I61)</f>
        <v>10.879633314668617</v>
      </c>
    </row>
    <row r="62" spans="1:15">
      <c r="A62" s="22" t="str">
        <f>'Historical FY16-FY25'!A61</f>
        <v>Mathews County</v>
      </c>
      <c r="B62" s="22" t="str">
        <f>'Historical FY16-FY25'!B61</f>
        <v>County</v>
      </c>
      <c r="C62" s="3" t="s">
        <v>313</v>
      </c>
      <c r="D62" s="33" t="s">
        <v>260</v>
      </c>
      <c r="E62" s="3">
        <f>IF(OR('Opportunity Controls'!$B$16="Both",AND('Opportunity Controls'!$B$16="Counties",$B62="County"),AND('Opportunity Controls'!$B$16="Cities",$B62="City")),1,0)</f>
        <v>1</v>
      </c>
      <c r="F62" s="23">
        <f>'Schools 1pct Profile'!E62</f>
        <v>1031558.6504864905</v>
      </c>
      <c r="G62" s="23">
        <f>'Schools 1pct Profile'!H62</f>
        <v>30304750.359041695</v>
      </c>
      <c r="H62" s="34">
        <f>IFERROR(($G62/MAX($G$6:$G$138))^'Opportunity Controls'!$B$14*100,0)</f>
        <v>12.099661200520796</v>
      </c>
      <c r="I62" s="35">
        <f>IFERROR(INDEX('Opportunity Controls'!$B$6:$B$9,MATCH($D62,'Opportunity Controls'!$A$6:$A$9,0)),1)</f>
        <v>0.7</v>
      </c>
      <c r="J62" s="34">
        <f>IF($E62=0,"",$H62*$I62)</f>
        <v>8.469762840364556</v>
      </c>
      <c r="K62" s="36">
        <f>IF($E62=0,"",RANK($J62,$J$6:$J$138))</f>
        <v>84</v>
      </c>
      <c r="L62" s="36">
        <f>IF($E62=0,"",8-ROUNDUP($K62/COUNT($J$6:$J$138)*7,0))</f>
        <v>1</v>
      </c>
      <c r="M62" s="3" t="str">
        <f>IF($E62=0,"",IF($L62&gt;=6,"Priority 1",IF($L62&gt;=5,"Priority 2",IF($L62&gt;=3,"Watch","Low"))))</f>
        <v>Low</v>
      </c>
      <c r="N62" s="37" t="str">
        <f>IF($E62=0,"",IF(AND($F62&gt;='Opportunity Controls'!$B$15,$L62&gt;=6),"YES",""))</f>
        <v/>
      </c>
      <c r="O62" s="34">
        <f>IF($E62=0,0,$H62*$I62)</f>
        <v>8.469762840364556</v>
      </c>
    </row>
    <row r="63" spans="1:15">
      <c r="A63" s="22" t="str">
        <f>'Historical FY16-FY25'!A62</f>
        <v>Mecklenburg County</v>
      </c>
      <c r="B63" s="22" t="str">
        <f>'Historical FY16-FY25'!B62</f>
        <v>County</v>
      </c>
      <c r="C63" s="3" t="s">
        <v>309</v>
      </c>
      <c r="D63" s="33" t="s">
        <v>260</v>
      </c>
      <c r="E63" s="3">
        <f>IF(OR('Opportunity Controls'!$B$16="Both",AND('Opportunity Controls'!$B$16="Counties",$B63="County"),AND('Opportunity Controls'!$B$16="Cities",$B63="City")),1,0)</f>
        <v>1</v>
      </c>
      <c r="F63" s="23">
        <f>'Schools 1pct Profile'!E63</f>
        <v>11613925.203414118</v>
      </c>
      <c r="G63" s="23">
        <f>'Schools 1pct Profile'!H63</f>
        <v>384072212.60798085</v>
      </c>
      <c r="H63" s="34">
        <f>IFERROR(($G63/MAX($G$6:$G$138))^'Opportunity Controls'!$B$14*100,0)</f>
        <v>31.759674080136254</v>
      </c>
      <c r="I63" s="35">
        <f>IFERROR(INDEX('Opportunity Controls'!$B$6:$B$9,MATCH($D63,'Opportunity Controls'!$A$6:$A$9,0)),1)</f>
        <v>0.7</v>
      </c>
      <c r="J63" s="34">
        <f>IF($E63=0,"",$H63*$I63)</f>
        <v>22.231771856095378</v>
      </c>
      <c r="K63" s="36">
        <f>IF($E63=0,"",RANK($J63,$J$6:$J$138))</f>
        <v>24</v>
      </c>
      <c r="L63" s="36">
        <f>IF($E63=0,"",8-ROUNDUP($K63/COUNT($J$6:$J$138)*7,0))</f>
        <v>6</v>
      </c>
      <c r="M63" s="3" t="str">
        <f>IF($E63=0,"",IF($L63&gt;=6,"Priority 1",IF($L63&gt;=5,"Priority 2",IF($L63&gt;=3,"Watch","Low"))))</f>
        <v>Priority 1</v>
      </c>
      <c r="N63" s="37" t="str">
        <f>IF($E63=0,"",IF(AND($F63&gt;='Opportunity Controls'!$B$15,$L63&gt;=6),"YES",""))</f>
        <v>YES</v>
      </c>
      <c r="O63" s="34">
        <f>IF($E63=0,0,$H63*$I63)</f>
        <v>22.231771856095378</v>
      </c>
    </row>
    <row r="64" spans="1:15">
      <c r="A64" s="22" t="str">
        <f>'Historical FY16-FY25'!A63</f>
        <v>Middlesex County</v>
      </c>
      <c r="B64" s="22" t="str">
        <f>'Historical FY16-FY25'!B63</f>
        <v>County</v>
      </c>
      <c r="C64" s="3" t="s">
        <v>313</v>
      </c>
      <c r="D64" s="33" t="s">
        <v>256</v>
      </c>
      <c r="E64" s="3">
        <f>IF(OR('Opportunity Controls'!$B$16="Both",AND('Opportunity Controls'!$B$16="Counties",$B64="County"),AND('Opportunity Controls'!$B$16="Cities",$B64="City")),1,0)</f>
        <v>1</v>
      </c>
      <c r="F64" s="23">
        <f>'Schools 1pct Profile'!E64</f>
        <v>1911899.7352138229</v>
      </c>
      <c r="G64" s="23">
        <f>'Schools 1pct Profile'!H64</f>
        <v>55563081.727326989</v>
      </c>
      <c r="H64" s="34">
        <f>IFERROR(($G64/MAX($G$6:$G$138))^'Opportunity Controls'!$B$14*100,0)</f>
        <v>15.234140036109563</v>
      </c>
      <c r="I64" s="35">
        <f>IFERROR(INDEX('Opportunity Controls'!$B$6:$B$9,MATCH($D64,'Opportunity Controls'!$A$6:$A$9,0)),1)</f>
        <v>1</v>
      </c>
      <c r="J64" s="34">
        <f>IF($E64=0,"",$H64*$I64)</f>
        <v>15.234140036109563</v>
      </c>
      <c r="K64" s="36">
        <f>IF($E64=0,"",RANK($J64,$J$6:$J$138))</f>
        <v>47</v>
      </c>
      <c r="L64" s="36">
        <f>IF($E64=0,"",8-ROUNDUP($K64/COUNT($J$6:$J$138)*7,0))</f>
        <v>4</v>
      </c>
      <c r="M64" s="3" t="str">
        <f>IF($E64=0,"",IF($L64&gt;=6,"Priority 1",IF($L64&gt;=5,"Priority 2",IF($L64&gt;=3,"Watch","Low"))))</f>
        <v>Watch</v>
      </c>
      <c r="N64" s="37" t="str">
        <f>IF($E64=0,"",IF(AND($F64&gt;='Opportunity Controls'!$B$15,$L64&gt;=6),"YES",""))</f>
        <v/>
      </c>
      <c r="O64" s="34">
        <f>IF($E64=0,0,$H64*$I64)</f>
        <v>15.234140036109563</v>
      </c>
    </row>
    <row r="65" spans="1:15">
      <c r="A65" s="22" t="str">
        <f>'Historical FY16-FY25'!A64</f>
        <v>Montgomery County</v>
      </c>
      <c r="B65" s="22" t="str">
        <f>'Historical FY16-FY25'!B64</f>
        <v>County</v>
      </c>
      <c r="C65" s="3" t="s">
        <v>311</v>
      </c>
      <c r="D65" s="33" t="s">
        <v>260</v>
      </c>
      <c r="E65" s="3">
        <f>IF(OR('Opportunity Controls'!$B$16="Both",AND('Opportunity Controls'!$B$16="Counties",$B65="County"),AND('Opportunity Controls'!$B$16="Cities",$B65="City")),1,0)</f>
        <v>1</v>
      </c>
      <c r="F65" s="23">
        <f>'Schools 1pct Profile'!E65</f>
        <v>20259695.393171661</v>
      </c>
      <c r="G65" s="23">
        <f>'Schools 1pct Profile'!H65</f>
        <v>600580294.63157701</v>
      </c>
      <c r="H65" s="34">
        <f>IFERROR(($G65/MAX($G$6:$G$138))^'Opportunity Controls'!$B$14*100,0)</f>
        <v>37.640566384462545</v>
      </c>
      <c r="I65" s="35">
        <f>IFERROR(INDEX('Opportunity Controls'!$B$6:$B$9,MATCH($D65,'Opportunity Controls'!$A$6:$A$9,0)),1)</f>
        <v>0.7</v>
      </c>
      <c r="J65" s="34">
        <f>IF($E65=0,"",$H65*$I65)</f>
        <v>26.348396469123781</v>
      </c>
      <c r="K65" s="36">
        <f>IF($E65=0,"",RANK($J65,$J$6:$J$138))</f>
        <v>15</v>
      </c>
      <c r="L65" s="36">
        <f>IF($E65=0,"",8-ROUNDUP($K65/COUNT($J$6:$J$138)*7,0))</f>
        <v>6</v>
      </c>
      <c r="M65" s="3" t="str">
        <f>IF($E65=0,"",IF($L65&gt;=6,"Priority 1",IF($L65&gt;=5,"Priority 2",IF($L65&gt;=3,"Watch","Low"))))</f>
        <v>Priority 1</v>
      </c>
      <c r="N65" s="37" t="str">
        <f>IF($E65=0,"",IF(AND($F65&gt;='Opportunity Controls'!$B$15,$L65&gt;=6),"YES",""))</f>
        <v>YES</v>
      </c>
      <c r="O65" s="34">
        <f>IF($E65=0,0,$H65*$I65)</f>
        <v>26.348396469123781</v>
      </c>
    </row>
    <row r="66" spans="1:15">
      <c r="A66" s="22" t="str">
        <f>'Historical FY16-FY25'!A65</f>
        <v>Nelson County</v>
      </c>
      <c r="B66" s="22" t="str">
        <f>'Historical FY16-FY25'!B65</f>
        <v>County</v>
      </c>
      <c r="C66" s="3" t="s">
        <v>306</v>
      </c>
      <c r="D66" s="33" t="s">
        <v>256</v>
      </c>
      <c r="E66" s="3">
        <f>IF(OR('Opportunity Controls'!$B$16="Both",AND('Opportunity Controls'!$B$16="Counties",$B66="County"),AND('Opportunity Controls'!$B$16="Cities",$B66="City")),1,0)</f>
        <v>1</v>
      </c>
      <c r="F66" s="23">
        <f>'Schools 1pct Profile'!E66</f>
        <v>2459303.2319108467</v>
      </c>
      <c r="G66" s="23">
        <f>'Schools 1pct Profile'!H66</f>
        <v>72428756.613723189</v>
      </c>
      <c r="H66" s="34">
        <f>IFERROR(($G66/MAX($G$6:$G$138))^'Opportunity Controls'!$B$14*100,0)</f>
        <v>16.848658628506534</v>
      </c>
      <c r="I66" s="35">
        <f>IFERROR(INDEX('Opportunity Controls'!$B$6:$B$9,MATCH($D66,'Opportunity Controls'!$A$6:$A$9,0)),1)</f>
        <v>1</v>
      </c>
      <c r="J66" s="34">
        <f>IF($E66=0,"",$H66*$I66)</f>
        <v>16.848658628506534</v>
      </c>
      <c r="K66" s="36">
        <f>IF($E66=0,"",RANK($J66,$J$6:$J$138))</f>
        <v>39</v>
      </c>
      <c r="L66" s="36">
        <f>IF($E66=0,"",8-ROUNDUP($K66/COUNT($J$6:$J$138)*7,0))</f>
        <v>5</v>
      </c>
      <c r="M66" s="3" t="str">
        <f>IF($E66=0,"",IF($L66&gt;=6,"Priority 1",IF($L66&gt;=5,"Priority 2",IF($L66&gt;=3,"Watch","Low"))))</f>
        <v>Priority 2</v>
      </c>
      <c r="N66" s="37" t="str">
        <f>IF($E66=0,"",IF(AND($F66&gt;='Opportunity Controls'!$B$15,$L66&gt;=6),"YES",""))</f>
        <v/>
      </c>
      <c r="O66" s="34">
        <f>IF($E66=0,0,$H66*$I66)</f>
        <v>16.848658628506534</v>
      </c>
    </row>
    <row r="67" spans="1:15">
      <c r="A67" s="22" t="str">
        <f>'Historical FY16-FY25'!A66</f>
        <v>New Kent County</v>
      </c>
      <c r="B67" s="22" t="str">
        <f>'Historical FY16-FY25'!B66</f>
        <v>County</v>
      </c>
      <c r="C67" s="3" t="s">
        <v>308</v>
      </c>
      <c r="D67" s="33" t="s">
        <v>256</v>
      </c>
      <c r="E67" s="3">
        <f>IF(OR('Opportunity Controls'!$B$16="Both",AND('Opportunity Controls'!$B$16="Counties",$B67="County"),AND('Opportunity Controls'!$B$16="Cities",$B67="City")),1,0)</f>
        <v>1</v>
      </c>
      <c r="F67" s="23">
        <f>'Schools 1pct Profile'!E67</f>
        <v>4312230.8574940609</v>
      </c>
      <c r="G67" s="23">
        <f>'Schools 1pct Profile'!H67</f>
        <v>148553550.06975144</v>
      </c>
      <c r="H67" s="34">
        <f>IFERROR(($G67/MAX($G$6:$G$138))^'Opportunity Controls'!$B$14*100,0)</f>
        <v>22.136792441712913</v>
      </c>
      <c r="I67" s="35">
        <f>IFERROR(INDEX('Opportunity Controls'!$B$6:$B$9,MATCH($D67,'Opportunity Controls'!$A$6:$A$9,0)),1)</f>
        <v>1</v>
      </c>
      <c r="J67" s="34">
        <f>IF($E67=0,"",$H67*$I67)</f>
        <v>22.136792441712913</v>
      </c>
      <c r="K67" s="36">
        <f>IF($E67=0,"",RANK($J67,$J$6:$J$138))</f>
        <v>25</v>
      </c>
      <c r="L67" s="36">
        <f>IF($E67=0,"",8-ROUNDUP($K67/COUNT($J$6:$J$138)*7,0))</f>
        <v>6</v>
      </c>
      <c r="M67" s="3" t="str">
        <f>IF($E67=0,"",IF($L67&gt;=6,"Priority 1",IF($L67&gt;=5,"Priority 2",IF($L67&gt;=3,"Watch","Low"))))</f>
        <v>Priority 1</v>
      </c>
      <c r="N67" s="37" t="str">
        <f>IF($E67=0,"",IF(AND($F67&gt;='Opportunity Controls'!$B$15,$L67&gt;=6),"YES",""))</f>
        <v>YES</v>
      </c>
      <c r="O67" s="34">
        <f>IF($E67=0,0,$H67*$I67)</f>
        <v>22.136792441712913</v>
      </c>
    </row>
    <row r="68" spans="1:15">
      <c r="A68" s="22" t="str">
        <f>'Historical FY16-FY25'!A67</f>
        <v>Northampton County</v>
      </c>
      <c r="B68" s="22" t="str">
        <f>'Historical FY16-FY25'!B67</f>
        <v>County</v>
      </c>
      <c r="C68" s="3" t="s">
        <v>305</v>
      </c>
      <c r="D68" s="33" t="s">
        <v>262</v>
      </c>
      <c r="E68" s="3">
        <f>IF(OR('Opportunity Controls'!$B$16="Both",AND('Opportunity Controls'!$B$16="Counties",$B68="County"),AND('Opportunity Controls'!$B$16="Cities",$B68="City")),1,0)</f>
        <v>1</v>
      </c>
      <c r="F68" s="23">
        <f>'Schools 1pct Profile'!E68</f>
        <v>2683223.3237683363</v>
      </c>
      <c r="G68" s="23">
        <f>'Schools 1pct Profile'!H68</f>
        <v>80936831.585766286</v>
      </c>
      <c r="H68" s="34">
        <f>IFERROR(($G68/MAX($G$6:$G$138))^'Opportunity Controls'!$B$14*100,0)</f>
        <v>17.574974174006261</v>
      </c>
      <c r="I68" s="35">
        <f>IFERROR(INDEX('Opportunity Controls'!$B$6:$B$9,MATCH($D68,'Opportunity Controls'!$A$6:$A$9,0)),1)</f>
        <v>0.35</v>
      </c>
      <c r="J68" s="34">
        <f>IF($E68=0,"",$H68*$I68)</f>
        <v>6.1512409609021912</v>
      </c>
      <c r="K68" s="36">
        <f>IF($E68=0,"",RANK($J68,$J$6:$J$138))</f>
        <v>91</v>
      </c>
      <c r="L68" s="36">
        <f>IF($E68=0,"",8-ROUNDUP($K68/COUNT($J$6:$J$138)*7,0))</f>
        <v>1</v>
      </c>
      <c r="M68" s="3" t="str">
        <f>IF($E68=0,"",IF($L68&gt;=6,"Priority 1",IF($L68&gt;=5,"Priority 2",IF($L68&gt;=3,"Watch","Low"))))</f>
        <v>Low</v>
      </c>
      <c r="N68" s="37" t="str">
        <f>IF($E68=0,"",IF(AND($F68&gt;='Opportunity Controls'!$B$15,$L68&gt;=6),"YES",""))</f>
        <v/>
      </c>
      <c r="O68" s="34">
        <f>IF($E68=0,0,$H68*$I68)</f>
        <v>6.1512409609021912</v>
      </c>
    </row>
    <row r="69" spans="1:15">
      <c r="A69" s="22" t="str">
        <f>'Historical FY16-FY25'!A68</f>
        <v>Northumberland County</v>
      </c>
      <c r="B69" s="22" t="str">
        <f>'Historical FY16-FY25'!B68</f>
        <v>County</v>
      </c>
      <c r="C69" s="3" t="s">
        <v>313</v>
      </c>
      <c r="D69" s="33" t="s">
        <v>260</v>
      </c>
      <c r="E69" s="3">
        <f>IF(OR('Opportunity Controls'!$B$16="Both",AND('Opportunity Controls'!$B$16="Counties",$B69="County"),AND('Opportunity Controls'!$B$16="Cities",$B69="City")),1,0)</f>
        <v>1</v>
      </c>
      <c r="F69" s="23">
        <f>'Schools 1pct Profile'!E69</f>
        <v>1547452.1435669179</v>
      </c>
      <c r="G69" s="23">
        <f>'Schools 1pct Profile'!H69</f>
        <v>47303530.593835741</v>
      </c>
      <c r="H69" s="34">
        <f>IFERROR(($G69/MAX($G$6:$G$138))^'Opportunity Controls'!$B$14*100,0)</f>
        <v>14.330412484624855</v>
      </c>
      <c r="I69" s="35">
        <f>IFERROR(INDEX('Opportunity Controls'!$B$6:$B$9,MATCH($D69,'Opportunity Controls'!$A$6:$A$9,0)),1)</f>
        <v>0.7</v>
      </c>
      <c r="J69" s="34">
        <f>IF($E69=0,"",$H69*$I69)</f>
        <v>10.031288739237398</v>
      </c>
      <c r="K69" s="36">
        <f>IF($E69=0,"",RANK($J69,$J$6:$J$138))</f>
        <v>72</v>
      </c>
      <c r="L69" s="36">
        <f>IF($E69=0,"",8-ROUNDUP($K69/COUNT($J$6:$J$138)*7,0))</f>
        <v>2</v>
      </c>
      <c r="M69" s="3" t="str">
        <f>IF($E69=0,"",IF($L69&gt;=6,"Priority 1",IF($L69&gt;=5,"Priority 2",IF($L69&gt;=3,"Watch","Low"))))</f>
        <v>Low</v>
      </c>
      <c r="N69" s="37" t="str">
        <f>IF($E69=0,"",IF(AND($F69&gt;='Opportunity Controls'!$B$15,$L69&gt;=6),"YES",""))</f>
        <v/>
      </c>
      <c r="O69" s="34">
        <f>IF($E69=0,0,$H69*$I69)</f>
        <v>10.031288739237398</v>
      </c>
    </row>
    <row r="70" spans="1:15">
      <c r="A70" s="22" t="str">
        <f>'Historical FY16-FY25'!A69</f>
        <v>Nottoway County</v>
      </c>
      <c r="B70" s="22" t="str">
        <f>'Historical FY16-FY25'!B69</f>
        <v>County</v>
      </c>
      <c r="C70" s="3" t="s">
        <v>312</v>
      </c>
      <c r="D70" s="33" t="s">
        <v>260</v>
      </c>
      <c r="E70" s="3">
        <f>IF(OR('Opportunity Controls'!$B$16="Both",AND('Opportunity Controls'!$B$16="Counties",$B70="County"),AND('Opportunity Controls'!$B$16="Cities",$B70="City")),1,0)</f>
        <v>1</v>
      </c>
      <c r="F70" s="23">
        <f>'Schools 1pct Profile'!E70</f>
        <v>2503534.2433187058</v>
      </c>
      <c r="G70" s="23">
        <f>'Schools 1pct Profile'!H70</f>
        <v>69500795.90079692</v>
      </c>
      <c r="H70" s="34">
        <f>IFERROR(($G70/MAX($G$6:$G$138))^'Opportunity Controls'!$B$14*100,0)</f>
        <v>16.586519188377213</v>
      </c>
      <c r="I70" s="35">
        <f>IFERROR(INDEX('Opportunity Controls'!$B$6:$B$9,MATCH($D70,'Opportunity Controls'!$A$6:$A$9,0)),1)</f>
        <v>0.7</v>
      </c>
      <c r="J70" s="34">
        <f>IF($E70=0,"",$H70*$I70)</f>
        <v>11.610563431864049</v>
      </c>
      <c r="K70" s="36">
        <f>IF($E70=0,"",RANK($J70,$J$6:$J$138))</f>
        <v>64</v>
      </c>
      <c r="L70" s="36">
        <f>IF($E70=0,"",8-ROUNDUP($K70/COUNT($J$6:$J$138)*7,0))</f>
        <v>3</v>
      </c>
      <c r="M70" s="3" t="str">
        <f>IF($E70=0,"",IF($L70&gt;=6,"Priority 1",IF($L70&gt;=5,"Priority 2",IF($L70&gt;=3,"Watch","Low"))))</f>
        <v>Watch</v>
      </c>
      <c r="N70" s="37" t="str">
        <f>IF($E70=0,"",IF(AND($F70&gt;='Opportunity Controls'!$B$15,$L70&gt;=6),"YES",""))</f>
        <v/>
      </c>
      <c r="O70" s="34">
        <f>IF($E70=0,0,$H70*$I70)</f>
        <v>11.610563431864049</v>
      </c>
    </row>
    <row r="71" spans="1:15">
      <c r="A71" s="22" t="str">
        <f>'Historical FY16-FY25'!A70</f>
        <v>Orange County</v>
      </c>
      <c r="B71" s="22" t="str">
        <f>'Historical FY16-FY25'!B70</f>
        <v>County</v>
      </c>
      <c r="C71" s="3" t="s">
        <v>306</v>
      </c>
      <c r="D71" s="33" t="s">
        <v>256</v>
      </c>
      <c r="E71" s="3">
        <f>IF(OR('Opportunity Controls'!$B$16="Both",AND('Opportunity Controls'!$B$16="Counties",$B71="County"),AND('Opportunity Controls'!$B$16="Cities",$B71="City")),1,0)</f>
        <v>1</v>
      </c>
      <c r="F71" s="23">
        <f>'Schools 1pct Profile'!E71</f>
        <v>6551753.3436923083</v>
      </c>
      <c r="G71" s="23">
        <f>'Schools 1pct Profile'!H71</f>
        <v>207360703.44934464</v>
      </c>
      <c r="H71" s="34">
        <f>IFERROR(($G71/MAX($G$6:$G$138))^'Opportunity Controls'!$B$14*100,0)</f>
        <v>25.127842060604255</v>
      </c>
      <c r="I71" s="35">
        <f>IFERROR(INDEX('Opportunity Controls'!$B$6:$B$9,MATCH($D71,'Opportunity Controls'!$A$6:$A$9,0)),1)</f>
        <v>1</v>
      </c>
      <c r="J71" s="34">
        <f>IF($E71=0,"",$H71*$I71)</f>
        <v>25.127842060604255</v>
      </c>
      <c r="K71" s="36">
        <f>IF($E71=0,"",RANK($J71,$J$6:$J$138))</f>
        <v>21</v>
      </c>
      <c r="L71" s="36">
        <f>IF($E71=0,"",8-ROUNDUP($K71/COUNT($J$6:$J$138)*7,0))</f>
        <v>6</v>
      </c>
      <c r="M71" s="3" t="str">
        <f>IF($E71=0,"",IF($L71&gt;=6,"Priority 1",IF($L71&gt;=5,"Priority 2",IF($L71&gt;=3,"Watch","Low"))))</f>
        <v>Priority 1</v>
      </c>
      <c r="N71" s="37" t="str">
        <f>IF($E71=0,"",IF(AND($F71&gt;='Opportunity Controls'!$B$15,$L71&gt;=6),"YES",""))</f>
        <v>YES</v>
      </c>
      <c r="O71" s="34">
        <f>IF($E71=0,0,$H71*$I71)</f>
        <v>25.127842060604255</v>
      </c>
    </row>
    <row r="72" spans="1:15">
      <c r="A72" s="22" t="str">
        <f>'Historical FY16-FY25'!A71</f>
        <v>Page County</v>
      </c>
      <c r="B72" s="22" t="str">
        <f>'Historical FY16-FY25'!B71</f>
        <v>County</v>
      </c>
      <c r="C72" s="3" t="s">
        <v>307</v>
      </c>
      <c r="D72" s="33" t="s">
        <v>260</v>
      </c>
      <c r="E72" s="3">
        <f>IF(OR('Opportunity Controls'!$B$16="Both",AND('Opportunity Controls'!$B$16="Counties",$B72="County"),AND('Opportunity Controls'!$B$16="Cities",$B72="City")),1,0)</f>
        <v>1</v>
      </c>
      <c r="F72" s="23">
        <f>'Schools 1pct Profile'!E72</f>
        <v>3764653.4674114655</v>
      </c>
      <c r="G72" s="23">
        <f>'Schools 1pct Profile'!H72</f>
        <v>112592847.50841722</v>
      </c>
      <c r="H72" s="34">
        <f>IFERROR(($G72/MAX($G$6:$G$138))^'Opportunity Controls'!$B$14*100,0)</f>
        <v>19.92384914853325</v>
      </c>
      <c r="I72" s="35">
        <f>IFERROR(INDEX('Opportunity Controls'!$B$6:$B$9,MATCH($D72,'Opportunity Controls'!$A$6:$A$9,0)),1)</f>
        <v>0.7</v>
      </c>
      <c r="J72" s="34">
        <f>IF($E72=0,"",$H72*$I72)</f>
        <v>13.946694403973275</v>
      </c>
      <c r="K72" s="36">
        <f>IF($E72=0,"",RANK($J72,$J$6:$J$138))</f>
        <v>51</v>
      </c>
      <c r="L72" s="36">
        <f>IF($E72=0,"",8-ROUNDUP($K72/COUNT($J$6:$J$138)*7,0))</f>
        <v>4</v>
      </c>
      <c r="M72" s="3" t="str">
        <f>IF($E72=0,"",IF($L72&gt;=6,"Priority 1",IF($L72&gt;=5,"Priority 2",IF($L72&gt;=3,"Watch","Low"))))</f>
        <v>Watch</v>
      </c>
      <c r="N72" s="37" t="str">
        <f>IF($E72=0,"",IF(AND($F72&gt;='Opportunity Controls'!$B$15,$L72&gt;=6),"YES",""))</f>
        <v/>
      </c>
      <c r="O72" s="34">
        <f>IF($E72=0,0,$H72*$I72)</f>
        <v>13.946694403973275</v>
      </c>
    </row>
    <row r="73" spans="1:15">
      <c r="A73" s="22" t="str">
        <f>'Historical FY16-FY25'!A72</f>
        <v>Patrick County</v>
      </c>
      <c r="B73" s="22" t="str">
        <f>'Historical FY16-FY25'!B72</f>
        <v>County</v>
      </c>
      <c r="C73" s="3" t="s">
        <v>309</v>
      </c>
      <c r="D73" s="33" t="s">
        <v>262</v>
      </c>
      <c r="E73" s="3">
        <f>IF(OR('Opportunity Controls'!$B$16="Both",AND('Opportunity Controls'!$B$16="Counties",$B73="County"),AND('Opportunity Controls'!$B$16="Cities",$B73="City")),1,0)</f>
        <v>1</v>
      </c>
      <c r="F73" s="23">
        <f>'Schools 1pct Profile'!E73</f>
        <v>2205215.6622230858</v>
      </c>
      <c r="G73" s="23">
        <f>'Schools 1pct Profile'!H73</f>
        <v>64285216.80997058</v>
      </c>
      <c r="H73" s="34">
        <f>IFERROR(($G73/MAX($G$6:$G$138))^'Opportunity Controls'!$B$14*100,0)</f>
        <v>16.102057113789233</v>
      </c>
      <c r="I73" s="35">
        <f>IFERROR(INDEX('Opportunity Controls'!$B$6:$B$9,MATCH($D73,'Opportunity Controls'!$A$6:$A$9,0)),1)</f>
        <v>0.35</v>
      </c>
      <c r="J73" s="34">
        <f>IF($E73=0,"",$H73*$I73)</f>
        <v>5.6357199898262307</v>
      </c>
      <c r="K73" s="36">
        <f>IF($E73=0,"",RANK($J73,$J$6:$J$138))</f>
        <v>92</v>
      </c>
      <c r="L73" s="36">
        <f>IF($E73=0,"",8-ROUNDUP($K73/COUNT($J$6:$J$138)*7,0))</f>
        <v>1</v>
      </c>
      <c r="M73" s="3" t="str">
        <f>IF($E73=0,"",IF($L73&gt;=6,"Priority 1",IF($L73&gt;=5,"Priority 2",IF($L73&gt;=3,"Watch","Low"))))</f>
        <v>Low</v>
      </c>
      <c r="N73" s="37" t="str">
        <f>IF($E73=0,"",IF(AND($F73&gt;='Opportunity Controls'!$B$15,$L73&gt;=6),"YES",""))</f>
        <v/>
      </c>
      <c r="O73" s="34">
        <f>IF($E73=0,0,$H73*$I73)</f>
        <v>5.6357199898262307</v>
      </c>
    </row>
    <row r="74" spans="1:15">
      <c r="A74" s="22" t="str">
        <f>'Historical FY16-FY25'!A73</f>
        <v>Pittsylvania County</v>
      </c>
      <c r="B74" s="22" t="str">
        <f>'Historical FY16-FY25'!B73</f>
        <v>County</v>
      </c>
      <c r="C74" s="3" t="s">
        <v>309</v>
      </c>
      <c r="D74" s="33" t="s">
        <v>262</v>
      </c>
      <c r="E74" s="3">
        <f>IF(OR('Opportunity Controls'!$B$16="Both",AND('Opportunity Controls'!$B$16="Counties",$B74="County"),AND('Opportunity Controls'!$B$16="Cities",$B74="City")),1,0)</f>
        <v>1</v>
      </c>
      <c r="F74" s="23">
        <f>'Schools 1pct Profile'!E74</f>
        <v>4874236.1756744012</v>
      </c>
      <c r="G74" s="23">
        <f>'Schools 1pct Profile'!H74</f>
        <v>133818635.13644567</v>
      </c>
      <c r="H74" s="34">
        <f>IFERROR(($G74/MAX($G$6:$G$138))^'Opportunity Controls'!$B$14*100,0)</f>
        <v>21.275287929040246</v>
      </c>
      <c r="I74" s="35">
        <f>IFERROR(INDEX('Opportunity Controls'!$B$6:$B$9,MATCH($D74,'Opportunity Controls'!$A$6:$A$9,0)),1)</f>
        <v>0.35</v>
      </c>
      <c r="J74" s="34">
        <f>IF($E74=0,"",$H74*$I74)</f>
        <v>7.4463507751640856</v>
      </c>
      <c r="K74" s="36">
        <f>IF($E74=0,"",RANK($J74,$J$6:$J$138))</f>
        <v>89</v>
      </c>
      <c r="L74" s="36">
        <f>IF($E74=0,"",8-ROUNDUP($K74/COUNT($J$6:$J$138)*7,0))</f>
        <v>1</v>
      </c>
      <c r="M74" s="3" t="str">
        <f>IF($E74=0,"",IF($L74&gt;=6,"Priority 1",IF($L74&gt;=5,"Priority 2",IF($L74&gt;=3,"Watch","Low"))))</f>
        <v>Low</v>
      </c>
      <c r="N74" s="37" t="str">
        <f>IF($E74=0,"",IF(AND($F74&gt;='Opportunity Controls'!$B$15,$L74&gt;=6),"YES",""))</f>
        <v/>
      </c>
      <c r="O74" s="34">
        <f>IF($E74=0,0,$H74*$I74)</f>
        <v>7.4463507751640856</v>
      </c>
    </row>
    <row r="75" spans="1:15">
      <c r="A75" s="22" t="str">
        <f>'Historical FY16-FY25'!A74</f>
        <v>Powhatan County</v>
      </c>
      <c r="B75" s="22" t="str">
        <f>'Historical FY16-FY25'!B74</f>
        <v>County</v>
      </c>
      <c r="C75" s="3" t="s">
        <v>308</v>
      </c>
      <c r="D75" s="33" t="s">
        <v>256</v>
      </c>
      <c r="E75" s="3">
        <f>IF(OR('Opportunity Controls'!$B$16="Both",AND('Opportunity Controls'!$B$16="Counties",$B75="County"),AND('Opportunity Controls'!$B$16="Cities",$B75="City")),1,0)</f>
        <v>1</v>
      </c>
      <c r="F75" s="23">
        <f>'Schools 1pct Profile'!E75</f>
        <v>6422858.0753480215</v>
      </c>
      <c r="G75" s="23">
        <f>'Schools 1pct Profile'!H75</f>
        <v>217514189.80973604</v>
      </c>
      <c r="H75" s="34">
        <f>IFERROR(($G75/MAX($G$6:$G$138))^'Opportunity Controls'!$B$14*100,0)</f>
        <v>25.588476271410286</v>
      </c>
      <c r="I75" s="35">
        <f>IFERROR(INDEX('Opportunity Controls'!$B$6:$B$9,MATCH($D75,'Opportunity Controls'!$A$6:$A$9,0)),1)</f>
        <v>1</v>
      </c>
      <c r="J75" s="34">
        <f>IF($E75=0,"",$H75*$I75)</f>
        <v>25.588476271410286</v>
      </c>
      <c r="K75" s="36">
        <f>IF($E75=0,"",RANK($J75,$J$6:$J$138))</f>
        <v>17</v>
      </c>
      <c r="L75" s="36">
        <f>IF($E75=0,"",8-ROUNDUP($K75/COUNT($J$6:$J$138)*7,0))</f>
        <v>6</v>
      </c>
      <c r="M75" s="3" t="str">
        <f>IF($E75=0,"",IF($L75&gt;=6,"Priority 1",IF($L75&gt;=5,"Priority 2",IF($L75&gt;=3,"Watch","Low"))))</f>
        <v>Priority 1</v>
      </c>
      <c r="N75" s="37" t="str">
        <f>IF($E75=0,"",IF(AND($F75&gt;='Opportunity Controls'!$B$15,$L75&gt;=6),"YES",""))</f>
        <v>YES</v>
      </c>
      <c r="O75" s="34">
        <f>IF($E75=0,0,$H75*$I75)</f>
        <v>25.588476271410286</v>
      </c>
    </row>
    <row r="76" spans="1:15">
      <c r="A76" s="22" t="str">
        <f>'Historical FY16-FY25'!A75</f>
        <v>Prince Edward County</v>
      </c>
      <c r="B76" s="22" t="str">
        <f>'Historical FY16-FY25'!B75</f>
        <v>County</v>
      </c>
      <c r="C76" s="3" t="s">
        <v>309</v>
      </c>
      <c r="D76" s="33" t="s">
        <v>256</v>
      </c>
      <c r="E76" s="3">
        <f>IF(OR('Opportunity Controls'!$B$16="Both",AND('Opportunity Controls'!$B$16="Counties",$B76="County"),AND('Opportunity Controls'!$B$16="Cities",$B76="City")),1,0)</f>
        <v>1</v>
      </c>
      <c r="F76" s="23">
        <f>'Schools 1pct Profile'!E76</f>
        <v>5025615.218262054</v>
      </c>
      <c r="G76" s="23">
        <f>'Schools 1pct Profile'!H76</f>
        <v>141207999.49744684</v>
      </c>
      <c r="H76" s="34">
        <f>IFERROR(($G76/MAX($G$6:$G$138))^'Opportunity Controls'!$B$14*100,0)</f>
        <v>21.714292016245754</v>
      </c>
      <c r="I76" s="35">
        <f>IFERROR(INDEX('Opportunity Controls'!$B$6:$B$9,MATCH($D76,'Opportunity Controls'!$A$6:$A$9,0)),1)</f>
        <v>1</v>
      </c>
      <c r="J76" s="34">
        <f>IF($E76=0,"",$H76*$I76)</f>
        <v>21.714292016245754</v>
      </c>
      <c r="K76" s="36">
        <f>IF($E76=0,"",RANK($J76,$J$6:$J$138))</f>
        <v>26</v>
      </c>
      <c r="L76" s="36">
        <f>IF($E76=0,"",8-ROUNDUP($K76/COUNT($J$6:$J$138)*7,0))</f>
        <v>6</v>
      </c>
      <c r="M76" s="3" t="str">
        <f>IF($E76=0,"",IF($L76&gt;=6,"Priority 1",IF($L76&gt;=5,"Priority 2",IF($L76&gt;=3,"Watch","Low"))))</f>
        <v>Priority 1</v>
      </c>
      <c r="N76" s="37" t="str">
        <f>IF($E76=0,"",IF(AND($F76&gt;='Opportunity Controls'!$B$15,$L76&gt;=6),"YES",""))</f>
        <v>YES</v>
      </c>
      <c r="O76" s="34">
        <f>IF($E76=0,0,$H76*$I76)</f>
        <v>21.714292016245754</v>
      </c>
    </row>
    <row r="77" spans="1:15">
      <c r="A77" s="22" t="str">
        <f>'Historical FY16-FY25'!A76</f>
        <v>Prince George County</v>
      </c>
      <c r="B77" s="22" t="str">
        <f>'Historical FY16-FY25'!B76</f>
        <v>County</v>
      </c>
      <c r="C77" s="3" t="s">
        <v>312</v>
      </c>
      <c r="D77" s="33" t="s">
        <v>260</v>
      </c>
      <c r="E77" s="3">
        <f>IF(OR('Opportunity Controls'!$B$16="Both",AND('Opportunity Controls'!$B$16="Counties",$B77="County"),AND('Opportunity Controls'!$B$16="Cities",$B77="City")),1,0)</f>
        <v>1</v>
      </c>
      <c r="F77" s="23">
        <f>'Schools 1pct Profile'!E77</f>
        <v>4950316.0270843888</v>
      </c>
      <c r="G77" s="23">
        <f>'Schools 1pct Profile'!H77</f>
        <v>154077535.38905168</v>
      </c>
      <c r="H77" s="34">
        <f>IFERROR(($G77/MAX($G$6:$G$138))^'Opportunity Controls'!$B$14*100,0)</f>
        <v>22.446058089735939</v>
      </c>
      <c r="I77" s="35">
        <f>IFERROR(INDEX('Opportunity Controls'!$B$6:$B$9,MATCH($D77,'Opportunity Controls'!$A$6:$A$9,0)),1)</f>
        <v>0.7</v>
      </c>
      <c r="J77" s="34">
        <f>IF($E77=0,"",$H77*$I77)</f>
        <v>15.712240662815155</v>
      </c>
      <c r="K77" s="36">
        <f>IF($E77=0,"",RANK($J77,$J$6:$J$138))</f>
        <v>45</v>
      </c>
      <c r="L77" s="36">
        <f>IF($E77=0,"",8-ROUNDUP($K77/COUNT($J$6:$J$138)*7,0))</f>
        <v>4</v>
      </c>
      <c r="M77" s="3" t="str">
        <f>IF($E77=0,"",IF($L77&gt;=6,"Priority 1",IF($L77&gt;=5,"Priority 2",IF($L77&gt;=3,"Watch","Low"))))</f>
        <v>Watch</v>
      </c>
      <c r="N77" s="37" t="str">
        <f>IF($E77=0,"",IF(AND($F77&gt;='Opportunity Controls'!$B$15,$L77&gt;=6),"YES",""))</f>
        <v/>
      </c>
      <c r="O77" s="34">
        <f>IF($E77=0,0,$H77*$I77)</f>
        <v>15.712240662815155</v>
      </c>
    </row>
    <row r="78" spans="1:15">
      <c r="A78" s="22" t="str">
        <f>'Historical FY16-FY25'!A77</f>
        <v>Prince William County</v>
      </c>
      <c r="B78" s="22" t="str">
        <f>'Historical FY16-FY25'!B77</f>
        <v>County</v>
      </c>
      <c r="C78" s="3" t="s">
        <v>310</v>
      </c>
      <c r="D78" s="33" t="s">
        <v>258</v>
      </c>
      <c r="E78" s="3">
        <f>IF(OR('Opportunity Controls'!$B$16="Both",AND('Opportunity Controls'!$B$16="Counties",$B78="County"),AND('Opportunity Controls'!$B$16="Cities",$B78="City")),1,0)</f>
        <v>1</v>
      </c>
      <c r="F78" s="23">
        <f>'Schools 1pct Profile'!E78</f>
        <v>109471910.29518431</v>
      </c>
      <c r="G78" s="23">
        <f>'Schools 1pct Profile'!H78</f>
        <v>3318304969.8441148</v>
      </c>
      <c r="H78" s="34">
        <f>IFERROR(($G78/MAX($G$6:$G$138))^'Opportunity Controls'!$B$14*100,0)</f>
        <v>72.068806983184899</v>
      </c>
      <c r="I78" s="35">
        <f>IFERROR(INDEX('Opportunity Controls'!$B$6:$B$9,MATCH($D78,'Opportunity Controls'!$A$6:$A$9,0)),1)</f>
        <v>0.8</v>
      </c>
      <c r="J78" s="34">
        <f>IF($E78=0,"",$H78*$I78)</f>
        <v>57.655045586547921</v>
      </c>
      <c r="K78" s="36">
        <f>IF($E78=0,"",RANK($J78,$J$6:$J$138))</f>
        <v>3</v>
      </c>
      <c r="L78" s="36">
        <f>IF($E78=0,"",8-ROUNDUP($K78/COUNT($J$6:$J$138)*7,0))</f>
        <v>7</v>
      </c>
      <c r="M78" s="3" t="str">
        <f>IF($E78=0,"",IF($L78&gt;=6,"Priority 1",IF($L78&gt;=5,"Priority 2",IF($L78&gt;=3,"Watch","Low"))))</f>
        <v>Priority 1</v>
      </c>
      <c r="N78" s="37" t="str">
        <f>IF($E78=0,"",IF(AND($F78&gt;='Opportunity Controls'!$B$15,$L78&gt;=6),"YES",""))</f>
        <v>YES</v>
      </c>
      <c r="O78" s="34">
        <f>IF($E78=0,0,$H78*$I78)</f>
        <v>57.655045586547921</v>
      </c>
    </row>
    <row r="79" spans="1:15">
      <c r="A79" s="22" t="str">
        <f>'Historical FY16-FY25'!A78</f>
        <v>Pulaski County</v>
      </c>
      <c r="B79" s="22" t="str">
        <f>'Historical FY16-FY25'!B78</f>
        <v>County</v>
      </c>
      <c r="C79" s="3" t="s">
        <v>311</v>
      </c>
      <c r="D79" s="33" t="s">
        <v>260</v>
      </c>
      <c r="E79" s="3">
        <f>IF(OR('Opportunity Controls'!$B$16="Both",AND('Opportunity Controls'!$B$16="Counties",$B79="County"),AND('Opportunity Controls'!$B$16="Cities",$B79="City")),1,0)</f>
        <v>1</v>
      </c>
      <c r="F79" s="23">
        <f>'Schools 1pct Profile'!E79</f>
        <v>6506101.4147170093</v>
      </c>
      <c r="G79" s="23">
        <f>'Schools 1pct Profile'!H79</f>
        <v>184992736.5271979</v>
      </c>
      <c r="H79" s="34">
        <f>IFERROR(($G79/MAX($G$6:$G$138))^'Opportunity Controls'!$B$14*100,0)</f>
        <v>24.061235123702307</v>
      </c>
      <c r="I79" s="35">
        <f>IFERROR(INDEX('Opportunity Controls'!$B$6:$B$9,MATCH($D79,'Opportunity Controls'!$A$6:$A$9,0)),1)</f>
        <v>0.7</v>
      </c>
      <c r="J79" s="34">
        <f>IF($E79=0,"",$H79*$I79)</f>
        <v>16.842864586591613</v>
      </c>
      <c r="K79" s="36">
        <f>IF($E79=0,"",RANK($J79,$J$6:$J$138))</f>
        <v>40</v>
      </c>
      <c r="L79" s="36">
        <f>IF($E79=0,"",8-ROUNDUP($K79/COUNT($J$6:$J$138)*7,0))</f>
        <v>5</v>
      </c>
      <c r="M79" s="3" t="str">
        <f>IF($E79=0,"",IF($L79&gt;=6,"Priority 1",IF($L79&gt;=5,"Priority 2",IF($L79&gt;=3,"Watch","Low"))))</f>
        <v>Priority 2</v>
      </c>
      <c r="N79" s="37" t="str">
        <f>IF($E79=0,"",IF(AND($F79&gt;='Opportunity Controls'!$B$15,$L79&gt;=6),"YES",""))</f>
        <v/>
      </c>
      <c r="O79" s="34">
        <f>IF($E79=0,0,$H79*$I79)</f>
        <v>16.842864586591613</v>
      </c>
    </row>
    <row r="80" spans="1:15">
      <c r="A80" s="22" t="str">
        <f>'Historical FY16-FY25'!A79</f>
        <v>Rappahannock County</v>
      </c>
      <c r="B80" s="22" t="str">
        <f>'Historical FY16-FY25'!B79</f>
        <v>County</v>
      </c>
      <c r="C80" s="3" t="s">
        <v>310</v>
      </c>
      <c r="D80" s="33" t="s">
        <v>260</v>
      </c>
      <c r="E80" s="3">
        <f>IF(OR('Opportunity Controls'!$B$16="Both",AND('Opportunity Controls'!$B$16="Counties",$B80="County"),AND('Opportunity Controls'!$B$16="Cities",$B80="City")),1,0)</f>
        <v>1</v>
      </c>
      <c r="F80" s="23">
        <f>'Schools 1pct Profile'!E80</f>
        <v>1191465.5577791019</v>
      </c>
      <c r="G80" s="23">
        <f>'Schools 1pct Profile'!H80</f>
        <v>36811390.601836592</v>
      </c>
      <c r="H80" s="34">
        <f>IFERROR(($G80/MAX($G$6:$G$138))^'Opportunity Controls'!$B$14*100,0)</f>
        <v>13.027839060970056</v>
      </c>
      <c r="I80" s="35">
        <f>IFERROR(INDEX('Opportunity Controls'!$B$6:$B$9,MATCH($D80,'Opportunity Controls'!$A$6:$A$9,0)),1)</f>
        <v>0.7</v>
      </c>
      <c r="J80" s="34">
        <f>IF($E80=0,"",$H80*$I80)</f>
        <v>9.1194873426790384</v>
      </c>
      <c r="K80" s="36">
        <f>IF($E80=0,"",RANK($J80,$J$6:$J$138))</f>
        <v>79</v>
      </c>
      <c r="L80" s="36">
        <f>IF($E80=0,"",8-ROUNDUP($K80/COUNT($J$6:$J$138)*7,0))</f>
        <v>2</v>
      </c>
      <c r="M80" s="3" t="str">
        <f>IF($E80=0,"",IF($L80&gt;=6,"Priority 1",IF($L80&gt;=5,"Priority 2",IF($L80&gt;=3,"Watch","Low"))))</f>
        <v>Low</v>
      </c>
      <c r="N80" s="37" t="str">
        <f>IF($E80=0,"",IF(AND($F80&gt;='Opportunity Controls'!$B$15,$L80&gt;=6),"YES",""))</f>
        <v/>
      </c>
      <c r="O80" s="34">
        <f>IF($E80=0,0,$H80*$I80)</f>
        <v>9.1194873426790384</v>
      </c>
    </row>
    <row r="81" spans="1:15">
      <c r="A81" s="22" t="str">
        <f>'Historical FY16-FY25'!A80</f>
        <v>Richmond County</v>
      </c>
      <c r="B81" s="22" t="str">
        <f>'Historical FY16-FY25'!B80</f>
        <v>County</v>
      </c>
      <c r="C81" s="3" t="s">
        <v>313</v>
      </c>
      <c r="D81" s="33" t="s">
        <v>260</v>
      </c>
      <c r="E81" s="3">
        <f>IF(OR('Opportunity Controls'!$B$16="Both",AND('Opportunity Controls'!$B$16="Counties",$B81="County"),AND('Opportunity Controls'!$B$16="Cities",$B81="City")),1,0)</f>
        <v>1</v>
      </c>
      <c r="F81" s="23">
        <f>'Schools 1pct Profile'!E81</f>
        <v>1831044.7254112076</v>
      </c>
      <c r="G81" s="23">
        <f>'Schools 1pct Profile'!H81</f>
        <v>48403147.93249207</v>
      </c>
      <c r="H81" s="34">
        <f>IFERROR(($G81/MAX($G$6:$G$138))^'Opportunity Controls'!$B$14*100,0)</f>
        <v>14.456098893847983</v>
      </c>
      <c r="I81" s="35">
        <f>IFERROR(INDEX('Opportunity Controls'!$B$6:$B$9,MATCH($D81,'Opportunity Controls'!$A$6:$A$9,0)),1)</f>
        <v>0.7</v>
      </c>
      <c r="J81" s="34">
        <f>IF($E81=0,"",$H81*$I81)</f>
        <v>10.119269225693587</v>
      </c>
      <c r="K81" s="36">
        <f>IF($E81=0,"",RANK($J81,$J$6:$J$138))</f>
        <v>71</v>
      </c>
      <c r="L81" s="36">
        <f>IF($E81=0,"",8-ROUNDUP($K81/COUNT($J$6:$J$138)*7,0))</f>
        <v>2</v>
      </c>
      <c r="M81" s="3" t="str">
        <f>IF($E81=0,"",IF($L81&gt;=6,"Priority 1",IF($L81&gt;=5,"Priority 2",IF($L81&gt;=3,"Watch","Low"))))</f>
        <v>Low</v>
      </c>
      <c r="N81" s="37" t="str">
        <f>IF($E81=0,"",IF(AND($F81&gt;='Opportunity Controls'!$B$15,$L81&gt;=6),"YES",""))</f>
        <v/>
      </c>
      <c r="O81" s="34">
        <f>IF($E81=0,0,$H81*$I81)</f>
        <v>10.119269225693587</v>
      </c>
    </row>
    <row r="82" spans="1:15">
      <c r="A82" s="22" t="str">
        <f>'Historical FY16-FY25'!A81</f>
        <v>Roanoke County</v>
      </c>
      <c r="B82" s="22" t="str">
        <f>'Historical FY16-FY25'!B81</f>
        <v>County</v>
      </c>
      <c r="C82" s="3" t="s">
        <v>311</v>
      </c>
      <c r="D82" s="33" t="s">
        <v>260</v>
      </c>
      <c r="E82" s="3">
        <f>IF(OR('Opportunity Controls'!$B$16="Both",AND('Opportunity Controls'!$B$16="Counties",$B82="County"),AND('Opportunity Controls'!$B$16="Cities",$B82="City")),1,0)</f>
        <v>1</v>
      </c>
      <c r="F82" s="23">
        <f>'Schools 1pct Profile'!E82</f>
        <v>19065312.419314284</v>
      </c>
      <c r="G82" s="23">
        <f>'Schools 1pct Profile'!H82</f>
        <v>554058918.36307204</v>
      </c>
      <c r="H82" s="34">
        <f>IFERROR(($G82/MAX($G$6:$G$138))^'Opportunity Controls'!$B$14*100,0)</f>
        <v>36.50483592252229</v>
      </c>
      <c r="I82" s="35">
        <f>IFERROR(INDEX('Opportunity Controls'!$B$6:$B$9,MATCH($D82,'Opportunity Controls'!$A$6:$A$9,0)),1)</f>
        <v>0.7</v>
      </c>
      <c r="J82" s="34">
        <f>IF($E82=0,"",$H82*$I82)</f>
        <v>25.553385145765603</v>
      </c>
      <c r="K82" s="36">
        <f>IF($E82=0,"",RANK($J82,$J$6:$J$138))</f>
        <v>18</v>
      </c>
      <c r="L82" s="36">
        <f>IF($E82=0,"",8-ROUNDUP($K82/COUNT($J$6:$J$138)*7,0))</f>
        <v>6</v>
      </c>
      <c r="M82" s="3" t="str">
        <f>IF($E82=0,"",IF($L82&gt;=6,"Priority 1",IF($L82&gt;=5,"Priority 2",IF($L82&gt;=3,"Watch","Low"))))</f>
        <v>Priority 1</v>
      </c>
      <c r="N82" s="37" t="str">
        <f>IF($E82=0,"",IF(AND($F82&gt;='Opportunity Controls'!$B$15,$L82&gt;=6),"YES",""))</f>
        <v>YES</v>
      </c>
      <c r="O82" s="34">
        <f>IF($E82=0,0,$H82*$I82)</f>
        <v>25.553385145765603</v>
      </c>
    </row>
    <row r="83" spans="1:15">
      <c r="A83" s="22" t="str">
        <f>'Historical FY16-FY25'!A82</f>
        <v>Rockbridge County</v>
      </c>
      <c r="B83" s="22" t="str">
        <f>'Historical FY16-FY25'!B82</f>
        <v>County</v>
      </c>
      <c r="C83" s="3" t="s">
        <v>307</v>
      </c>
      <c r="D83" s="33" t="s">
        <v>260</v>
      </c>
      <c r="E83" s="3">
        <f>IF(OR('Opportunity Controls'!$B$16="Both",AND('Opportunity Controls'!$B$16="Counties",$B83="County"),AND('Opportunity Controls'!$B$16="Cities",$B83="City")),1,0)</f>
        <v>1</v>
      </c>
      <c r="F83" s="23">
        <f>'Schools 1pct Profile'!E83</f>
        <v>5037039.3453935813</v>
      </c>
      <c r="G83" s="23">
        <f>'Schools 1pct Profile'!H83</f>
        <v>157943912.25791922</v>
      </c>
      <c r="H83" s="34">
        <f>IFERROR(($G83/MAX($G$6:$G$138))^'Opportunity Controls'!$B$14*100,0)</f>
        <v>22.658452128778325</v>
      </c>
      <c r="I83" s="35">
        <f>IFERROR(INDEX('Opportunity Controls'!$B$6:$B$9,MATCH($D83,'Opportunity Controls'!$A$6:$A$9,0)),1)</f>
        <v>0.7</v>
      </c>
      <c r="J83" s="34">
        <f>IF($E83=0,"",$H83*$I83)</f>
        <v>15.860916490144827</v>
      </c>
      <c r="K83" s="36">
        <f>IF($E83=0,"",RANK($J83,$J$6:$J$138))</f>
        <v>43</v>
      </c>
      <c r="L83" s="36">
        <f>IF($E83=0,"",8-ROUNDUP($K83/COUNT($J$6:$J$138)*7,0))</f>
        <v>4</v>
      </c>
      <c r="M83" s="3" t="str">
        <f>IF($E83=0,"",IF($L83&gt;=6,"Priority 1",IF($L83&gt;=5,"Priority 2",IF($L83&gt;=3,"Watch","Low"))))</f>
        <v>Watch</v>
      </c>
      <c r="N83" s="37" t="str">
        <f>IF($E83=0,"",IF(AND($F83&gt;='Opportunity Controls'!$B$15,$L83&gt;=6),"YES",""))</f>
        <v/>
      </c>
      <c r="O83" s="34">
        <f>IF($E83=0,0,$H83*$I83)</f>
        <v>15.860916490144827</v>
      </c>
    </row>
    <row r="84" spans="1:15">
      <c r="A84" s="22" t="str">
        <f>'Historical FY16-FY25'!A83</f>
        <v>Rockingham County</v>
      </c>
      <c r="B84" s="22" t="str">
        <f>'Historical FY16-FY25'!B83</f>
        <v>County</v>
      </c>
      <c r="C84" s="3" t="s">
        <v>307</v>
      </c>
      <c r="D84" s="33" t="s">
        <v>260</v>
      </c>
      <c r="E84" s="3">
        <f>IF(OR('Opportunity Controls'!$B$16="Both",AND('Opportunity Controls'!$B$16="Counties",$B84="County"),AND('Opportunity Controls'!$B$16="Cities",$B84="City")),1,0)</f>
        <v>1</v>
      </c>
      <c r="F84" s="23">
        <f>'Schools 1pct Profile'!E84</f>
        <v>16309210.694916204</v>
      </c>
      <c r="G84" s="23">
        <f>'Schools 1pct Profile'!H84</f>
        <v>537732458.72291565</v>
      </c>
      <c r="H84" s="34">
        <f>IFERROR(($G84/MAX($G$6:$G$138))^'Opportunity Controls'!$B$14*100,0)</f>
        <v>36.092279813687014</v>
      </c>
      <c r="I84" s="35">
        <f>IFERROR(INDEX('Opportunity Controls'!$B$6:$B$9,MATCH($D84,'Opportunity Controls'!$A$6:$A$9,0)),1)</f>
        <v>0.7</v>
      </c>
      <c r="J84" s="34">
        <f>IF($E84=0,"",$H84*$I84)</f>
        <v>25.264595869580909</v>
      </c>
      <c r="K84" s="36">
        <f>IF($E84=0,"",RANK($J84,$J$6:$J$138))</f>
        <v>20</v>
      </c>
      <c r="L84" s="36">
        <f>IF($E84=0,"",8-ROUNDUP($K84/COUNT($J$6:$J$138)*7,0))</f>
        <v>6</v>
      </c>
      <c r="M84" s="3" t="str">
        <f>IF($E84=0,"",IF($L84&gt;=6,"Priority 1",IF($L84&gt;=5,"Priority 2",IF($L84&gt;=3,"Watch","Low"))))</f>
        <v>Priority 1</v>
      </c>
      <c r="N84" s="37" t="str">
        <f>IF($E84=0,"",IF(AND($F84&gt;='Opportunity Controls'!$B$15,$L84&gt;=6),"YES",""))</f>
        <v>YES</v>
      </c>
      <c r="O84" s="34">
        <f>IF($E84=0,0,$H84*$I84)</f>
        <v>25.264595869580909</v>
      </c>
    </row>
    <row r="85" spans="1:15">
      <c r="A85" s="22" t="str">
        <f>'Historical FY16-FY25'!A84</f>
        <v>Russell County</v>
      </c>
      <c r="B85" s="22" t="str">
        <f>'Historical FY16-FY25'!B84</f>
        <v>County</v>
      </c>
      <c r="C85" s="3" t="s">
        <v>311</v>
      </c>
      <c r="D85" s="33" t="s">
        <v>260</v>
      </c>
      <c r="E85" s="3">
        <f>IF(OR('Opportunity Controls'!$B$16="Both",AND('Opportunity Controls'!$B$16="Counties",$B85="County"),AND('Opportunity Controls'!$B$16="Cities",$B85="City")),1,0)</f>
        <v>1</v>
      </c>
      <c r="F85" s="23">
        <f>'Schools 1pct Profile'!E85</f>
        <v>2959488.0148748718</v>
      </c>
      <c r="G85" s="23">
        <f>'Schools 1pct Profile'!H85</f>
        <v>80094198.350504771</v>
      </c>
      <c r="H85" s="34">
        <f>IFERROR(($G85/MAX($G$6:$G$138))^'Opportunity Controls'!$B$14*100,0)</f>
        <v>17.505218751225563</v>
      </c>
      <c r="I85" s="35">
        <f>IFERROR(INDEX('Opportunity Controls'!$B$6:$B$9,MATCH($D85,'Opportunity Controls'!$A$6:$A$9,0)),1)</f>
        <v>0.7</v>
      </c>
      <c r="J85" s="34">
        <f>IF($E85=0,"",$H85*$I85)</f>
        <v>12.253653125857893</v>
      </c>
      <c r="K85" s="36">
        <f>IF($E85=0,"",RANK($J85,$J$6:$J$138))</f>
        <v>60</v>
      </c>
      <c r="L85" s="36">
        <f>IF($E85=0,"",8-ROUNDUP($K85/COUNT($J$6:$J$138)*7,0))</f>
        <v>3</v>
      </c>
      <c r="M85" s="3" t="str">
        <f>IF($E85=0,"",IF($L85&gt;=6,"Priority 1",IF($L85&gt;=5,"Priority 2",IF($L85&gt;=3,"Watch","Low"))))</f>
        <v>Watch</v>
      </c>
      <c r="N85" s="37" t="str">
        <f>IF($E85=0,"",IF(AND($F85&gt;='Opportunity Controls'!$B$15,$L85&gt;=6),"YES",""))</f>
        <v/>
      </c>
      <c r="O85" s="34">
        <f>IF($E85=0,0,$H85*$I85)</f>
        <v>12.253653125857893</v>
      </c>
    </row>
    <row r="86" spans="1:15">
      <c r="A86" s="22" t="str">
        <f>'Historical FY16-FY25'!A85</f>
        <v>Scott County</v>
      </c>
      <c r="B86" s="22" t="str">
        <f>'Historical FY16-FY25'!B85</f>
        <v>County</v>
      </c>
      <c r="C86" s="3" t="s">
        <v>311</v>
      </c>
      <c r="D86" s="33" t="s">
        <v>260</v>
      </c>
      <c r="E86" s="3">
        <f>IF(OR('Opportunity Controls'!$B$16="Both",AND('Opportunity Controls'!$B$16="Counties",$B86="County"),AND('Opportunity Controls'!$B$16="Cities",$B86="City")),1,0)</f>
        <v>1</v>
      </c>
      <c r="F86" s="23">
        <f>'Schools 1pct Profile'!E86</f>
        <v>2496230.6475604791</v>
      </c>
      <c r="G86" s="23">
        <f>'Schools 1pct Profile'!H86</f>
        <v>68116819.691354156</v>
      </c>
      <c r="H86" s="34">
        <f>IFERROR(($G86/MAX($G$6:$G$138))^'Opportunity Controls'!$B$14*100,0)</f>
        <v>16.460226149460503</v>
      </c>
      <c r="I86" s="35">
        <f>IFERROR(INDEX('Opportunity Controls'!$B$6:$B$9,MATCH($D86,'Opportunity Controls'!$A$6:$A$9,0)),1)</f>
        <v>0.7</v>
      </c>
      <c r="J86" s="34">
        <f>IF($E86=0,"",$H86*$I86)</f>
        <v>11.522158304622351</v>
      </c>
      <c r="K86" s="36">
        <f>IF($E86=0,"",RANK($J86,$J$6:$J$138))</f>
        <v>65</v>
      </c>
      <c r="L86" s="36">
        <f>IF($E86=0,"",8-ROUNDUP($K86/COUNT($J$6:$J$138)*7,0))</f>
        <v>3</v>
      </c>
      <c r="M86" s="3" t="str">
        <f>IF($E86=0,"",IF($L86&gt;=6,"Priority 1",IF($L86&gt;=5,"Priority 2",IF($L86&gt;=3,"Watch","Low"))))</f>
        <v>Watch</v>
      </c>
      <c r="N86" s="37" t="str">
        <f>IF($E86=0,"",IF(AND($F86&gt;='Opportunity Controls'!$B$15,$L86&gt;=6),"YES",""))</f>
        <v/>
      </c>
      <c r="O86" s="34">
        <f>IF($E86=0,0,$H86*$I86)</f>
        <v>11.522158304622351</v>
      </c>
    </row>
    <row r="87" spans="1:15">
      <c r="A87" s="22" t="str">
        <f>'Historical FY16-FY25'!A86</f>
        <v>Shenandoah County</v>
      </c>
      <c r="B87" s="22" t="str">
        <f>'Historical FY16-FY25'!B86</f>
        <v>County</v>
      </c>
      <c r="C87" s="3" t="s">
        <v>307</v>
      </c>
      <c r="D87" s="33" t="s">
        <v>260</v>
      </c>
      <c r="E87" s="3">
        <f>IF(OR('Opportunity Controls'!$B$16="Both",AND('Opportunity Controls'!$B$16="Counties",$B87="County"),AND('Opportunity Controls'!$B$16="Cities",$B87="City")),1,0)</f>
        <v>1</v>
      </c>
      <c r="F87" s="23">
        <f>'Schools 1pct Profile'!E87</f>
        <v>7939297.4631834868</v>
      </c>
      <c r="G87" s="23">
        <f>'Schools 1pct Profile'!H87</f>
        <v>242891664.44127667</v>
      </c>
      <c r="H87" s="34">
        <f>IFERROR(($G87/MAX($G$6:$G$138))^'Opportunity Controls'!$B$14*100,0)</f>
        <v>26.684307212607862</v>
      </c>
      <c r="I87" s="35">
        <f>IFERROR(INDEX('Opportunity Controls'!$B$6:$B$9,MATCH($D87,'Opportunity Controls'!$A$6:$A$9,0)),1)</f>
        <v>0.7</v>
      </c>
      <c r="J87" s="34">
        <f>IF($E87=0,"",$H87*$I87)</f>
        <v>18.679015048825502</v>
      </c>
      <c r="K87" s="36">
        <f>IF($E87=0,"",RANK($J87,$J$6:$J$138))</f>
        <v>32</v>
      </c>
      <c r="L87" s="36">
        <f>IF($E87=0,"",8-ROUNDUP($K87/COUNT($J$6:$J$138)*7,0))</f>
        <v>5</v>
      </c>
      <c r="M87" s="3" t="str">
        <f>IF($E87=0,"",IF($L87&gt;=6,"Priority 1",IF($L87&gt;=5,"Priority 2",IF($L87&gt;=3,"Watch","Low"))))</f>
        <v>Priority 2</v>
      </c>
      <c r="N87" s="37" t="str">
        <f>IF($E87=0,"",IF(AND($F87&gt;='Opportunity Controls'!$B$15,$L87&gt;=6),"YES",""))</f>
        <v/>
      </c>
      <c r="O87" s="34">
        <f>IF($E87=0,0,$H87*$I87)</f>
        <v>18.679015048825502</v>
      </c>
    </row>
    <row r="88" spans="1:15">
      <c r="A88" s="22" t="str">
        <f>'Historical FY16-FY25'!A87</f>
        <v>Smyth County</v>
      </c>
      <c r="B88" s="22" t="str">
        <f>'Historical FY16-FY25'!B87</f>
        <v>County</v>
      </c>
      <c r="C88" s="3" t="s">
        <v>311</v>
      </c>
      <c r="D88" s="33" t="s">
        <v>260</v>
      </c>
      <c r="E88" s="3">
        <f>IF(OR('Opportunity Controls'!$B$16="Both",AND('Opportunity Controls'!$B$16="Counties",$B88="County"),AND('Opportunity Controls'!$B$16="Cities",$B88="City")),1,0)</f>
        <v>1</v>
      </c>
      <c r="F88" s="23">
        <f>'Schools 1pct Profile'!E88</f>
        <v>3948125.3909134869</v>
      </c>
      <c r="G88" s="23">
        <f>'Schools 1pct Profile'!H88</f>
        <v>109648881.46172997</v>
      </c>
      <c r="H88" s="34">
        <f>IFERROR(($G88/MAX($G$6:$G$138))^'Opportunity Controls'!$B$14*100,0)</f>
        <v>19.724260879218118</v>
      </c>
      <c r="I88" s="35">
        <f>IFERROR(INDEX('Opportunity Controls'!$B$6:$B$9,MATCH($D88,'Opportunity Controls'!$A$6:$A$9,0)),1)</f>
        <v>0.7</v>
      </c>
      <c r="J88" s="34">
        <f>IF($E88=0,"",$H88*$I88)</f>
        <v>13.806982615452682</v>
      </c>
      <c r="K88" s="36">
        <f>IF($E88=0,"",RANK($J88,$J$6:$J$138))</f>
        <v>52</v>
      </c>
      <c r="L88" s="36">
        <f>IF($E88=0,"",8-ROUNDUP($K88/COUNT($J$6:$J$138)*7,0))</f>
        <v>4</v>
      </c>
      <c r="M88" s="3" t="str">
        <f>IF($E88=0,"",IF($L88&gt;=6,"Priority 1",IF($L88&gt;=5,"Priority 2",IF($L88&gt;=3,"Watch","Low"))))</f>
        <v>Watch</v>
      </c>
      <c r="N88" s="37" t="str">
        <f>IF($E88=0,"",IF(AND($F88&gt;='Opportunity Controls'!$B$15,$L88&gt;=6),"YES",""))</f>
        <v/>
      </c>
      <c r="O88" s="34">
        <f>IF($E88=0,0,$H88*$I88)</f>
        <v>13.806982615452682</v>
      </c>
    </row>
    <row r="89" spans="1:15">
      <c r="A89" s="22" t="str">
        <f>'Historical FY16-FY25'!A88</f>
        <v>Southampton County</v>
      </c>
      <c r="B89" s="22" t="str">
        <f>'Historical FY16-FY25'!B88</f>
        <v>County</v>
      </c>
      <c r="C89" s="3" t="s">
        <v>314</v>
      </c>
      <c r="D89" s="33" t="s">
        <v>260</v>
      </c>
      <c r="E89" s="3">
        <f>IF(OR('Opportunity Controls'!$B$16="Both",AND('Opportunity Controls'!$B$16="Counties",$B89="County"),AND('Opportunity Controls'!$B$16="Cities",$B89="City")),1,0)</f>
        <v>1</v>
      </c>
      <c r="F89" s="23">
        <f>'Schools 1pct Profile'!E89</f>
        <v>1332421.5503875818</v>
      </c>
      <c r="G89" s="23">
        <f>'Schools 1pct Profile'!H89</f>
        <v>38900015.950979069</v>
      </c>
      <c r="H89" s="34">
        <f>IFERROR(($G89/MAX($G$6:$G$138))^'Opportunity Controls'!$B$14*100,0)</f>
        <v>13.303933212404468</v>
      </c>
      <c r="I89" s="35">
        <f>IFERROR(INDEX('Opportunity Controls'!$B$6:$B$9,MATCH($D89,'Opportunity Controls'!$A$6:$A$9,0)),1)</f>
        <v>0.7</v>
      </c>
      <c r="J89" s="34">
        <f>IF($E89=0,"",$H89*$I89)</f>
        <v>9.3127532486831264</v>
      </c>
      <c r="K89" s="36">
        <f>IF($E89=0,"",RANK($J89,$J$6:$J$138))</f>
        <v>76</v>
      </c>
      <c r="L89" s="36">
        <f>IF($E89=0,"",8-ROUNDUP($K89/COUNT($J$6:$J$138)*7,0))</f>
        <v>2</v>
      </c>
      <c r="M89" s="3" t="str">
        <f>IF($E89=0,"",IF($L89&gt;=6,"Priority 1",IF($L89&gt;=5,"Priority 2",IF($L89&gt;=3,"Watch","Low"))))</f>
        <v>Low</v>
      </c>
      <c r="N89" s="37" t="str">
        <f>IF($E89=0,"",IF(AND($F89&gt;='Opportunity Controls'!$B$15,$L89&gt;=6),"YES",""))</f>
        <v/>
      </c>
      <c r="O89" s="34">
        <f>IF($E89=0,0,$H89*$I89)</f>
        <v>9.3127532486831264</v>
      </c>
    </row>
    <row r="90" spans="1:15">
      <c r="A90" s="22" t="str">
        <f>'Historical FY16-FY25'!A89</f>
        <v>Spotsylvania County</v>
      </c>
      <c r="B90" s="22" t="str">
        <f>'Historical FY16-FY25'!B89</f>
        <v>County</v>
      </c>
      <c r="C90" s="3" t="s">
        <v>310</v>
      </c>
      <c r="D90" s="33" t="s">
        <v>260</v>
      </c>
      <c r="E90" s="3">
        <f>IF(OR('Opportunity Controls'!$B$16="Both",AND('Opportunity Controls'!$B$16="Counties",$B90="County"),AND('Opportunity Controls'!$B$16="Cities",$B90="City")),1,0)</f>
        <v>1</v>
      </c>
      <c r="F90" s="23">
        <f>'Schools 1pct Profile'!E90</f>
        <v>34171017.43438755</v>
      </c>
      <c r="G90" s="23">
        <f>'Schools 1pct Profile'!H90</f>
        <v>1098518959.5116267</v>
      </c>
      <c r="H90" s="34">
        <f>IFERROR(($G90/MAX($G$6:$G$138))^'Opportunity Controls'!$B$14*100,0)</f>
        <v>47.348476704226172</v>
      </c>
      <c r="I90" s="35">
        <f>IFERROR(INDEX('Opportunity Controls'!$B$6:$B$9,MATCH($D90,'Opportunity Controls'!$A$6:$A$9,0)),1)</f>
        <v>0.7</v>
      </c>
      <c r="J90" s="34">
        <f>IF($E90=0,"",$H90*$I90)</f>
        <v>33.143933692958321</v>
      </c>
      <c r="K90" s="36">
        <f>IF($E90=0,"",RANK($J90,$J$6:$J$138))</f>
        <v>9</v>
      </c>
      <c r="L90" s="36">
        <f>IF($E90=0,"",8-ROUNDUP($K90/COUNT($J$6:$J$138)*7,0))</f>
        <v>7</v>
      </c>
      <c r="M90" s="3" t="str">
        <f>IF($E90=0,"",IF($L90&gt;=6,"Priority 1",IF($L90&gt;=5,"Priority 2",IF($L90&gt;=3,"Watch","Low"))))</f>
        <v>Priority 1</v>
      </c>
      <c r="N90" s="37" t="str">
        <f>IF($E90=0,"",IF(AND($F90&gt;='Opportunity Controls'!$B$15,$L90&gt;=6),"YES",""))</f>
        <v>YES</v>
      </c>
      <c r="O90" s="34">
        <f>IF($E90=0,0,$H90*$I90)</f>
        <v>33.143933692958321</v>
      </c>
    </row>
    <row r="91" spans="1:15">
      <c r="A91" s="22" t="str">
        <f>'Historical FY16-FY25'!A90</f>
        <v>Stafford County</v>
      </c>
      <c r="B91" s="22" t="str">
        <f>'Historical FY16-FY25'!B90</f>
        <v>County</v>
      </c>
      <c r="C91" s="3" t="s">
        <v>310</v>
      </c>
      <c r="D91" s="33" t="s">
        <v>260</v>
      </c>
      <c r="E91" s="3">
        <f>IF(OR('Opportunity Controls'!$B$16="Both",AND('Opportunity Controls'!$B$16="Counties",$B91="County"),AND('Opportunity Controls'!$B$16="Cities",$B91="City")),1,0)</f>
        <v>1</v>
      </c>
      <c r="F91" s="23">
        <f>'Schools 1pct Profile'!E91</f>
        <v>26566027.140462328</v>
      </c>
      <c r="G91" s="23">
        <f>'Schools 1pct Profile'!H91</f>
        <v>858184413.97442961</v>
      </c>
      <c r="H91" s="34">
        <f>IFERROR(($G91/MAX($G$6:$G$138))^'Opportunity Controls'!$B$14*100,0)</f>
        <v>43.108188821602198</v>
      </c>
      <c r="I91" s="35">
        <f>IFERROR(INDEX('Opportunity Controls'!$B$6:$B$9,MATCH($D91,'Opportunity Controls'!$A$6:$A$9,0)),1)</f>
        <v>0.7</v>
      </c>
      <c r="J91" s="34">
        <f>IF($E91=0,"",$H91*$I91)</f>
        <v>30.175732175121535</v>
      </c>
      <c r="K91" s="36">
        <f>IF($E91=0,"",RANK($J91,$J$6:$J$138))</f>
        <v>11</v>
      </c>
      <c r="L91" s="36">
        <f>IF($E91=0,"",8-ROUNDUP($K91/COUNT($J$6:$J$138)*7,0))</f>
        <v>7</v>
      </c>
      <c r="M91" s="3" t="str">
        <f>IF($E91=0,"",IF($L91&gt;=6,"Priority 1",IF($L91&gt;=5,"Priority 2",IF($L91&gt;=3,"Watch","Low"))))</f>
        <v>Priority 1</v>
      </c>
      <c r="N91" s="37" t="str">
        <f>IF($E91=0,"",IF(AND($F91&gt;='Opportunity Controls'!$B$15,$L91&gt;=6),"YES",""))</f>
        <v>YES</v>
      </c>
      <c r="O91" s="34">
        <f>IF($E91=0,0,$H91*$I91)</f>
        <v>30.175732175121535</v>
      </c>
    </row>
    <row r="92" spans="1:15">
      <c r="A92" s="22" t="str">
        <f>'Historical FY16-FY25'!A91</f>
        <v>Surry County</v>
      </c>
      <c r="B92" s="22" t="str">
        <f>'Historical FY16-FY25'!B91</f>
        <v>County</v>
      </c>
      <c r="C92" s="3" t="s">
        <v>312</v>
      </c>
      <c r="D92" s="33" t="s">
        <v>260</v>
      </c>
      <c r="E92" s="3">
        <f>IF(OR('Opportunity Controls'!$B$16="Both",AND('Opportunity Controls'!$B$16="Counties",$B92="County"),AND('Opportunity Controls'!$B$16="Cities",$B92="City")),1,0)</f>
        <v>1</v>
      </c>
      <c r="F92" s="23">
        <f>'Schools 1pct Profile'!E92</f>
        <v>2351970.9504000004</v>
      </c>
      <c r="G92" s="23">
        <f>'Schools 1pct Profile'!H92</f>
        <v>99658158.020751432</v>
      </c>
      <c r="H92" s="34">
        <f>IFERROR(($G92/MAX($G$6:$G$138))^'Opportunity Controls'!$B$14*100,0)</f>
        <v>19.021029759432643</v>
      </c>
      <c r="I92" s="35">
        <f>IFERROR(INDEX('Opportunity Controls'!$B$6:$B$9,MATCH($D92,'Opportunity Controls'!$A$6:$A$9,0)),1)</f>
        <v>0.7</v>
      </c>
      <c r="J92" s="34">
        <f>IF($E92=0,"",$H92*$I92)</f>
        <v>13.31472083160285</v>
      </c>
      <c r="K92" s="36">
        <f>IF($E92=0,"",RANK($J92,$J$6:$J$138))</f>
        <v>55</v>
      </c>
      <c r="L92" s="36">
        <f>IF($E92=0,"",8-ROUNDUP($K92/COUNT($J$6:$J$138)*7,0))</f>
        <v>3</v>
      </c>
      <c r="M92" s="3" t="str">
        <f>IF($E92=0,"",IF($L92&gt;=6,"Priority 1",IF($L92&gt;=5,"Priority 2",IF($L92&gt;=3,"Watch","Low"))))</f>
        <v>Watch</v>
      </c>
      <c r="N92" s="37" t="str">
        <f>IF($E92=0,"",IF(AND($F92&gt;='Opportunity Controls'!$B$15,$L92&gt;=6),"YES",""))</f>
        <v/>
      </c>
      <c r="O92" s="34">
        <f>IF($E92=0,0,$H92*$I92)</f>
        <v>13.31472083160285</v>
      </c>
    </row>
    <row r="93" spans="1:15">
      <c r="A93" s="22" t="str">
        <f>'Historical FY16-FY25'!A92</f>
        <v>Sussex County</v>
      </c>
      <c r="B93" s="22" t="str">
        <f>'Historical FY16-FY25'!B92</f>
        <v>County</v>
      </c>
      <c r="C93" s="3" t="s">
        <v>312</v>
      </c>
      <c r="D93" s="33" t="s">
        <v>256</v>
      </c>
      <c r="E93" s="3">
        <f>IF(OR('Opportunity Controls'!$B$16="Both",AND('Opportunity Controls'!$B$16="Counties",$B93="County"),AND('Opportunity Controls'!$B$16="Cities",$B93="City")),1,0)</f>
        <v>1</v>
      </c>
      <c r="F93" s="23">
        <f>'Schools 1pct Profile'!E93</f>
        <v>1709015.1215460249</v>
      </c>
      <c r="G93" s="23">
        <f>'Schools 1pct Profile'!H93</f>
        <v>47703456.931386687</v>
      </c>
      <c r="H93" s="34">
        <f>IFERROR(($G93/MAX($G$6:$G$138))^'Opportunity Controls'!$B$14*100,0)</f>
        <v>14.376331671423026</v>
      </c>
      <c r="I93" s="35">
        <f>IFERROR(INDEX('Opportunity Controls'!$B$6:$B$9,MATCH($D93,'Opportunity Controls'!$A$6:$A$9,0)),1)</f>
        <v>1</v>
      </c>
      <c r="J93" s="34">
        <f>IF($E93=0,"",$H93*$I93)</f>
        <v>14.376331671423026</v>
      </c>
      <c r="K93" s="36">
        <f>IF($E93=0,"",RANK($J93,$J$6:$J$138))</f>
        <v>50</v>
      </c>
      <c r="L93" s="36">
        <f>IF($E93=0,"",8-ROUNDUP($K93/COUNT($J$6:$J$138)*7,0))</f>
        <v>4</v>
      </c>
      <c r="M93" s="3" t="str">
        <f>IF($E93=0,"",IF($L93&gt;=6,"Priority 1",IF($L93&gt;=5,"Priority 2",IF($L93&gt;=3,"Watch","Low"))))</f>
        <v>Watch</v>
      </c>
      <c r="N93" s="37" t="str">
        <f>IF($E93=0,"",IF(AND($F93&gt;='Opportunity Controls'!$B$15,$L93&gt;=6),"YES",""))</f>
        <v/>
      </c>
      <c r="O93" s="34">
        <f>IF($E93=0,0,$H93*$I93)</f>
        <v>14.376331671423026</v>
      </c>
    </row>
    <row r="94" spans="1:15">
      <c r="A94" s="22" t="str">
        <f>'Historical FY16-FY25'!A93</f>
        <v>Tazewell County</v>
      </c>
      <c r="B94" s="22" t="str">
        <f>'Historical FY16-FY25'!B93</f>
        <v>County</v>
      </c>
      <c r="C94" s="3" t="s">
        <v>311</v>
      </c>
      <c r="D94" s="33" t="s">
        <v>260</v>
      </c>
      <c r="E94" s="3">
        <f>IF(OR('Opportunity Controls'!$B$16="Both",AND('Opportunity Controls'!$B$16="Counties",$B94="County"),AND('Opportunity Controls'!$B$16="Cities",$B94="City")),1,0)</f>
        <v>1</v>
      </c>
      <c r="F94" s="23">
        <f>'Schools 1pct Profile'!E94</f>
        <v>8661299.8608621415</v>
      </c>
      <c r="G94" s="23">
        <f>'Schools 1pct Profile'!H94</f>
        <v>240351753.12741145</v>
      </c>
      <c r="H94" s="34">
        <f>IFERROR(($G94/MAX($G$6:$G$138))^'Opportunity Controls'!$B$14*100,0)</f>
        <v>26.577927452265133</v>
      </c>
      <c r="I94" s="35">
        <f>IFERROR(INDEX('Opportunity Controls'!$B$6:$B$9,MATCH($D94,'Opportunity Controls'!$A$6:$A$9,0)),1)</f>
        <v>0.7</v>
      </c>
      <c r="J94" s="34">
        <f>IF($E94=0,"",$H94*$I94)</f>
        <v>18.604549216585593</v>
      </c>
      <c r="K94" s="36">
        <f>IF($E94=0,"",RANK($J94,$J$6:$J$138))</f>
        <v>33</v>
      </c>
      <c r="L94" s="36">
        <f>IF($E94=0,"",8-ROUNDUP($K94/COUNT($J$6:$J$138)*7,0))</f>
        <v>5</v>
      </c>
      <c r="M94" s="3" t="str">
        <f>IF($E94=0,"",IF($L94&gt;=6,"Priority 1",IF($L94&gt;=5,"Priority 2",IF($L94&gt;=3,"Watch","Low"))))</f>
        <v>Priority 2</v>
      </c>
      <c r="N94" s="37" t="str">
        <f>IF($E94=0,"",IF(AND($F94&gt;='Opportunity Controls'!$B$15,$L94&gt;=6),"YES",""))</f>
        <v/>
      </c>
      <c r="O94" s="34">
        <f>IF($E94=0,0,$H94*$I94)</f>
        <v>18.604549216585593</v>
      </c>
    </row>
    <row r="95" spans="1:15">
      <c r="A95" s="22" t="str">
        <f>'Historical FY16-FY25'!A94</f>
        <v>Warren County</v>
      </c>
      <c r="B95" s="22" t="str">
        <f>'Historical FY16-FY25'!B94</f>
        <v>County</v>
      </c>
      <c r="C95" s="3" t="s">
        <v>310</v>
      </c>
      <c r="D95" s="33" t="s">
        <v>260</v>
      </c>
      <c r="E95" s="3">
        <f>IF(OR('Opportunity Controls'!$B$16="Both",AND('Opportunity Controls'!$B$16="Counties",$B95="County"),AND('Opportunity Controls'!$B$16="Cities",$B95="City")),1,0)</f>
        <v>1</v>
      </c>
      <c r="F95" s="23">
        <f>'Schools 1pct Profile'!E95</f>
        <v>8433187.3399310987</v>
      </c>
      <c r="G95" s="23">
        <f>'Schools 1pct Profile'!H95</f>
        <v>260050250.59454238</v>
      </c>
      <c r="H95" s="34">
        <f>IFERROR(($G95/MAX($G$6:$G$138))^'Opportunity Controls'!$B$14*100,0)</f>
        <v>27.385514523471528</v>
      </c>
      <c r="I95" s="35">
        <f>IFERROR(INDEX('Opportunity Controls'!$B$6:$B$9,MATCH($D95,'Opportunity Controls'!$A$6:$A$9,0)),1)</f>
        <v>0.7</v>
      </c>
      <c r="J95" s="34">
        <f>IF($E95=0,"",$H95*$I95)</f>
        <v>19.16986016643007</v>
      </c>
      <c r="K95" s="36">
        <f>IF($E95=0,"",RANK($J95,$J$6:$J$138))</f>
        <v>31</v>
      </c>
      <c r="L95" s="36">
        <f>IF($E95=0,"",8-ROUNDUP($K95/COUNT($J$6:$J$138)*7,0))</f>
        <v>5</v>
      </c>
      <c r="M95" s="3" t="str">
        <f>IF($E95=0,"",IF($L95&gt;=6,"Priority 1",IF($L95&gt;=5,"Priority 2",IF($L95&gt;=3,"Watch","Low"))))</f>
        <v>Priority 2</v>
      </c>
      <c r="N95" s="37" t="str">
        <f>IF($E95=0,"",IF(AND($F95&gt;='Opportunity Controls'!$B$15,$L95&gt;=6),"YES",""))</f>
        <v/>
      </c>
      <c r="O95" s="34">
        <f>IF($E95=0,0,$H95*$I95)</f>
        <v>19.16986016643007</v>
      </c>
    </row>
    <row r="96" spans="1:15">
      <c r="A96" s="22" t="str">
        <f>'Historical FY16-FY25'!A95</f>
        <v>Washington County</v>
      </c>
      <c r="B96" s="22" t="str">
        <f>'Historical FY16-FY25'!B95</f>
        <v>County</v>
      </c>
      <c r="C96" s="3" t="s">
        <v>311</v>
      </c>
      <c r="D96" s="33" t="s">
        <v>258</v>
      </c>
      <c r="E96" s="3">
        <f>IF(OR('Opportunity Controls'!$B$16="Both",AND('Opportunity Controls'!$B$16="Counties",$B96="County"),AND('Opportunity Controls'!$B$16="Cities",$B96="City")),1,0)</f>
        <v>1</v>
      </c>
      <c r="F96" s="23">
        <f>'Schools 1pct Profile'!E96</f>
        <v>12766927.924599864</v>
      </c>
      <c r="G96" s="23">
        <f>'Schools 1pct Profile'!H96</f>
        <v>386761279.97773397</v>
      </c>
      <c r="H96" s="34">
        <f>IFERROR(($G96/MAX($G$6:$G$138))^'Opportunity Controls'!$B$14*100,0)</f>
        <v>31.843989759561897</v>
      </c>
      <c r="I96" s="35">
        <f>IFERROR(INDEX('Opportunity Controls'!$B$6:$B$9,MATCH($D96,'Opportunity Controls'!$A$6:$A$9,0)),1)</f>
        <v>0.8</v>
      </c>
      <c r="J96" s="34">
        <f>IF($E96=0,"",$H96*$I96)</f>
        <v>25.475191807649519</v>
      </c>
      <c r="K96" s="36">
        <f>IF($E96=0,"",RANK($J96,$J$6:$J$138))</f>
        <v>19</v>
      </c>
      <c r="L96" s="36">
        <f>IF($E96=0,"",8-ROUNDUP($K96/COUNT($J$6:$J$138)*7,0))</f>
        <v>6</v>
      </c>
      <c r="M96" s="3" t="str">
        <f>IF($E96=0,"",IF($L96&gt;=6,"Priority 1",IF($L96&gt;=5,"Priority 2",IF($L96&gt;=3,"Watch","Low"))))</f>
        <v>Priority 1</v>
      </c>
      <c r="N96" s="37" t="str">
        <f>IF($E96=0,"",IF(AND($F96&gt;='Opportunity Controls'!$B$15,$L96&gt;=6),"YES",""))</f>
        <v>YES</v>
      </c>
      <c r="O96" s="34">
        <f>IF($E96=0,0,$H96*$I96)</f>
        <v>25.475191807649519</v>
      </c>
    </row>
    <row r="97" spans="1:15">
      <c r="A97" s="22" t="str">
        <f>'Historical FY16-FY25'!A96</f>
        <v>Westmoreland County</v>
      </c>
      <c r="B97" s="22" t="str">
        <f>'Historical FY16-FY25'!B96</f>
        <v>County</v>
      </c>
      <c r="C97" s="3" t="s">
        <v>313</v>
      </c>
      <c r="D97" s="33" t="s">
        <v>260</v>
      </c>
      <c r="E97" s="3">
        <f>IF(OR('Opportunity Controls'!$B$16="Both",AND('Opportunity Controls'!$B$16="Counties",$B97="County"),AND('Opportunity Controls'!$B$16="Cities",$B97="City")),1,0)</f>
        <v>1</v>
      </c>
      <c r="F97" s="23">
        <f>'Schools 1pct Profile'!E97</f>
        <v>2305516.6058883495</v>
      </c>
      <c r="G97" s="23">
        <f>'Schools 1pct Profile'!H97</f>
        <v>73407117.2251973</v>
      </c>
      <c r="H97" s="34">
        <f>IFERROR(($G97/MAX($G$6:$G$138))^'Opportunity Controls'!$B$14*100,0)</f>
        <v>16.934783315643571</v>
      </c>
      <c r="I97" s="35">
        <f>IFERROR(INDEX('Opportunity Controls'!$B$6:$B$9,MATCH($D97,'Opportunity Controls'!$A$6:$A$9,0)),1)</f>
        <v>0.7</v>
      </c>
      <c r="J97" s="34">
        <f>IF($E97=0,"",$H97*$I97)</f>
        <v>11.8543483209505</v>
      </c>
      <c r="K97" s="36">
        <f>IF($E97=0,"",RANK($J97,$J$6:$J$138))</f>
        <v>62</v>
      </c>
      <c r="L97" s="36">
        <f>IF($E97=0,"",8-ROUNDUP($K97/COUNT($J$6:$J$138)*7,0))</f>
        <v>3</v>
      </c>
      <c r="M97" s="3" t="str">
        <f>IF($E97=0,"",IF($L97&gt;=6,"Priority 1",IF($L97&gt;=5,"Priority 2",IF($L97&gt;=3,"Watch","Low"))))</f>
        <v>Watch</v>
      </c>
      <c r="N97" s="37" t="str">
        <f>IF($E97=0,"",IF(AND($F97&gt;='Opportunity Controls'!$B$15,$L97&gt;=6),"YES",""))</f>
        <v/>
      </c>
      <c r="O97" s="34">
        <f>IF($E97=0,0,$H97*$I97)</f>
        <v>11.8543483209505</v>
      </c>
    </row>
    <row r="98" spans="1:15">
      <c r="A98" s="22" t="str">
        <f>'Historical FY16-FY25'!A97</f>
        <v>Wise County</v>
      </c>
      <c r="B98" s="22" t="str">
        <f>'Historical FY16-FY25'!B97</f>
        <v>County</v>
      </c>
      <c r="C98" s="3" t="s">
        <v>311</v>
      </c>
      <c r="D98" s="33" t="s">
        <v>258</v>
      </c>
      <c r="E98" s="3">
        <f>IF(OR('Opportunity Controls'!$B$16="Both",AND('Opportunity Controls'!$B$16="Counties",$B98="County"),AND('Opportunity Controls'!$B$16="Cities",$B98="City")),1,0)</f>
        <v>1</v>
      </c>
      <c r="F98" s="23">
        <f>'Schools 1pct Profile'!E98</f>
        <v>4598418.0490320772</v>
      </c>
      <c r="G98" s="23">
        <f>'Schools 1pct Profile'!H98</f>
        <v>121155604.31994361</v>
      </c>
      <c r="H98" s="34">
        <f>IFERROR(($G98/MAX($G$6:$G$138))^'Opportunity Controls'!$B$14*100,0)</f>
        <v>20.486589857760109</v>
      </c>
      <c r="I98" s="35">
        <f>IFERROR(INDEX('Opportunity Controls'!$B$6:$B$9,MATCH($D98,'Opportunity Controls'!$A$6:$A$9,0)),1)</f>
        <v>0.8</v>
      </c>
      <c r="J98" s="34">
        <f>IF($E98=0,"",$H98*$I98)</f>
        <v>16.389271886208089</v>
      </c>
      <c r="K98" s="36">
        <f>IF($E98=0,"",RANK($J98,$J$6:$J$138))</f>
        <v>42</v>
      </c>
      <c r="L98" s="36">
        <f>IF($E98=0,"",8-ROUNDUP($K98/COUNT($J$6:$J$138)*7,0))</f>
        <v>4</v>
      </c>
      <c r="M98" s="3" t="str">
        <f>IF($E98=0,"",IF($L98&gt;=6,"Priority 1",IF($L98&gt;=5,"Priority 2",IF($L98&gt;=3,"Watch","Low"))))</f>
        <v>Watch</v>
      </c>
      <c r="N98" s="37" t="str">
        <f>IF($E98=0,"",IF(AND($F98&gt;='Opportunity Controls'!$B$15,$L98&gt;=6),"YES",""))</f>
        <v/>
      </c>
      <c r="O98" s="34">
        <f>IF($E98=0,0,$H98*$I98)</f>
        <v>16.389271886208089</v>
      </c>
    </row>
    <row r="99" spans="1:15">
      <c r="A99" s="22" t="str">
        <f>'Historical FY16-FY25'!A98</f>
        <v>Wythe County</v>
      </c>
      <c r="B99" s="22" t="str">
        <f>'Historical FY16-FY25'!B98</f>
        <v>County</v>
      </c>
      <c r="C99" s="3" t="s">
        <v>311</v>
      </c>
      <c r="D99" s="33" t="s">
        <v>256</v>
      </c>
      <c r="E99" s="3">
        <f>IF(OR('Opportunity Controls'!$B$16="Both",AND('Opportunity Controls'!$B$16="Counties",$B99="County"),AND('Opportunity Controls'!$B$16="Cities",$B99="City")),1,0)</f>
        <v>1</v>
      </c>
      <c r="F99" s="23">
        <f>'Schools 1pct Profile'!E99</f>
        <v>7432437.4141433621</v>
      </c>
      <c r="G99" s="23">
        <f>'Schools 1pct Profile'!H99</f>
        <v>220339605.7786797</v>
      </c>
      <c r="H99" s="34">
        <f>IFERROR(($G99/MAX($G$6:$G$138))^'Opportunity Controls'!$B$14*100,0)</f>
        <v>25.714276868612668</v>
      </c>
      <c r="I99" s="35">
        <f>IFERROR(INDEX('Opportunity Controls'!$B$6:$B$9,MATCH($D99,'Opportunity Controls'!$A$6:$A$9,0)),1)</f>
        <v>1</v>
      </c>
      <c r="J99" s="34">
        <f>IF($E99=0,"",$H99*$I99)</f>
        <v>25.714276868612668</v>
      </c>
      <c r="K99" s="36">
        <f>IF($E99=0,"",RANK($J99,$J$6:$J$138))</f>
        <v>16</v>
      </c>
      <c r="L99" s="36">
        <f>IF($E99=0,"",8-ROUNDUP($K99/COUNT($J$6:$J$138)*7,0))</f>
        <v>6</v>
      </c>
      <c r="M99" s="3" t="str">
        <f>IF($E99=0,"",IF($L99&gt;=6,"Priority 1",IF($L99&gt;=5,"Priority 2",IF($L99&gt;=3,"Watch","Low"))))</f>
        <v>Priority 1</v>
      </c>
      <c r="N99" s="37" t="str">
        <f>IF($E99=0,"",IF(AND($F99&gt;='Opportunity Controls'!$B$15,$L99&gt;=6),"YES",""))</f>
        <v>YES</v>
      </c>
      <c r="O99" s="34">
        <f>IF($E99=0,0,$H99*$I99)</f>
        <v>25.714276868612668</v>
      </c>
    </row>
    <row r="100" spans="1:15">
      <c r="A100" s="22" t="str">
        <f>'Historical FY16-FY25'!A99</f>
        <v>York County</v>
      </c>
      <c r="B100" s="22" t="str">
        <f>'Historical FY16-FY25'!B99</f>
        <v>County</v>
      </c>
      <c r="C100" s="3" t="s">
        <v>314</v>
      </c>
      <c r="D100" s="33" t="s">
        <v>256</v>
      </c>
      <c r="E100" s="3">
        <f>IF(OR('Opportunity Controls'!$B$16="Both",AND('Opportunity Controls'!$B$16="Counties",$B100="County"),AND('Opportunity Controls'!$B$16="Cities",$B100="City")),1,0)</f>
        <v>1</v>
      </c>
      <c r="F100" s="23">
        <f>'Schools 1pct Profile'!E100</f>
        <v>16138967.744521724</v>
      </c>
      <c r="G100" s="23">
        <f>'Schools 1pct Profile'!H100</f>
        <v>470087571.1176039</v>
      </c>
      <c r="H100" s="34">
        <f>IFERROR(($G100/MAX($G$6:$G$138))^'Opportunity Controls'!$B$14*100,0)</f>
        <v>34.294705041250864</v>
      </c>
      <c r="I100" s="35">
        <f>IFERROR(INDEX('Opportunity Controls'!$B$6:$B$9,MATCH($D100,'Opportunity Controls'!$A$6:$A$9,0)),1)</f>
        <v>1</v>
      </c>
      <c r="J100" s="34">
        <f>IF($E100=0,"",$H100*$I100)</f>
        <v>34.294705041250864</v>
      </c>
      <c r="K100" s="36">
        <f>IF($E100=0,"",RANK($J100,$J$6:$J$138))</f>
        <v>8</v>
      </c>
      <c r="L100" s="36">
        <f>IF($E100=0,"",8-ROUNDUP($K100/COUNT($J$6:$J$138)*7,0))</f>
        <v>7</v>
      </c>
      <c r="M100" s="3" t="str">
        <f>IF($E100=0,"",IF($L100&gt;=6,"Priority 1",IF($L100&gt;=5,"Priority 2",IF($L100&gt;=3,"Watch","Low"))))</f>
        <v>Priority 1</v>
      </c>
      <c r="N100" s="37" t="str">
        <f>IF($E100=0,"",IF(AND($F100&gt;='Opportunity Controls'!$B$15,$L100&gt;=6),"YES",""))</f>
        <v>YES</v>
      </c>
      <c r="O100" s="34">
        <f>IF($E100=0,0,$H100*$I100)</f>
        <v>34.294705041250864</v>
      </c>
    </row>
    <row r="101" spans="1:15">
      <c r="A101" s="22" t="str">
        <f>'Historical FY16-FY25'!A100</f>
        <v>Alexandria City</v>
      </c>
      <c r="B101" s="22" t="str">
        <f>'Historical FY16-FY25'!B100</f>
        <v>City</v>
      </c>
      <c r="C101" s="3" t="s">
        <v>310</v>
      </c>
      <c r="D101" s="33" t="s">
        <v>260</v>
      </c>
      <c r="E101" s="3">
        <f>IF(OR('Opportunity Controls'!$B$16="Both",AND('Opportunity Controls'!$B$16="Counties",$B101="County"),AND('Opportunity Controls'!$B$16="Cities",$B101="City")),1,0)</f>
        <v>0</v>
      </c>
      <c r="F101" s="23">
        <f>'Schools 1pct Profile'!E101</f>
        <v>44609271.907540835</v>
      </c>
      <c r="G101" s="23">
        <f>'Schools 1pct Profile'!H101</f>
        <v>1352711645.0525768</v>
      </c>
      <c r="H101" s="34">
        <f>IFERROR(($G101/MAX($G$6:$G$138))^'Opportunity Controls'!$B$14*100,0)</f>
        <v>51.245664236362501</v>
      </c>
      <c r="I101" s="35">
        <f>IFERROR(INDEX('Opportunity Controls'!$B$6:$B$9,MATCH($D101,'Opportunity Controls'!$A$6:$A$9,0)),1)</f>
        <v>0.7</v>
      </c>
      <c r="J101" s="34" t="str">
        <f>IF($E101=0,"",$H101*$I101)</f>
        <v/>
      </c>
      <c r="K101" s="36" t="str">
        <f>IF($E101=0,"",RANK($J101,$J$6:$J$138))</f>
        <v/>
      </c>
      <c r="L101" s="36" t="str">
        <f>IF($E101=0,"",8-ROUNDUP($K101/COUNT($J$6:$J$138)*7,0))</f>
        <v/>
      </c>
      <c r="M101" s="3" t="str">
        <f>IF($E101=0,"",IF($L101&gt;=6,"Priority 1",IF($L101&gt;=5,"Priority 2",IF($L101&gt;=3,"Watch","Low"))))</f>
        <v/>
      </c>
      <c r="N101" s="37" t="str">
        <f>IF($E101=0,"",IF(AND($F101&gt;='Opportunity Controls'!$B$15,$L101&gt;=6),"YES",""))</f>
        <v/>
      </c>
      <c r="O101" s="34">
        <f>IF($E101=0,0,$H101*$I101)</f>
        <v>0</v>
      </c>
    </row>
    <row r="102" spans="1:15">
      <c r="A102" s="22" t="str">
        <f>'Historical FY16-FY25'!A101</f>
        <v>Bristol City</v>
      </c>
      <c r="B102" s="22" t="str">
        <f>'Historical FY16-FY25'!B101</f>
        <v>City</v>
      </c>
      <c r="C102" s="3" t="s">
        <v>311</v>
      </c>
      <c r="D102" s="33" t="s">
        <v>260</v>
      </c>
      <c r="E102" s="3">
        <f>IF(OR('Opportunity Controls'!$B$16="Both",AND('Opportunity Controls'!$B$16="Counties",$B102="County"),AND('Opportunity Controls'!$B$16="Cities",$B102="City")),1,0)</f>
        <v>0</v>
      </c>
      <c r="F102" s="23">
        <f>'Schools 1pct Profile'!E102</f>
        <v>7252419.9950114274</v>
      </c>
      <c r="G102" s="23">
        <f>'Schools 1pct Profile'!H102</f>
        <v>218916283.09401146</v>
      </c>
      <c r="H102" s="34">
        <f>IFERROR(($G102/MAX($G$6:$G$138))^'Opportunity Controls'!$B$14*100,0)</f>
        <v>25.651029776806222</v>
      </c>
      <c r="I102" s="35">
        <f>IFERROR(INDEX('Opportunity Controls'!$B$6:$B$9,MATCH($D102,'Opportunity Controls'!$A$6:$A$9,0)),1)</f>
        <v>0.7</v>
      </c>
      <c r="J102" s="34" t="str">
        <f>IF($E102=0,"",$H102*$I102)</f>
        <v/>
      </c>
      <c r="K102" s="36" t="str">
        <f>IF($E102=0,"",RANK($J102,$J$6:$J$138))</f>
        <v/>
      </c>
      <c r="L102" s="36" t="str">
        <f>IF($E102=0,"",8-ROUNDUP($K102/COUNT($J$6:$J$138)*7,0))</f>
        <v/>
      </c>
      <c r="M102" s="3" t="str">
        <f>IF($E102=0,"",IF($L102&gt;=6,"Priority 1",IF($L102&gt;=5,"Priority 2",IF($L102&gt;=3,"Watch","Low"))))</f>
        <v/>
      </c>
      <c r="N102" s="37" t="str">
        <f>IF($E102=0,"",IF(AND($F102&gt;='Opportunity Controls'!$B$15,$L102&gt;=6),"YES",""))</f>
        <v/>
      </c>
      <c r="O102" s="34">
        <f>IF($E102=0,0,$H102*$I102)</f>
        <v>0</v>
      </c>
    </row>
    <row r="103" spans="1:15">
      <c r="A103" s="22" t="str">
        <f>'Historical FY16-FY25'!A102</f>
        <v>Buena Vista City</v>
      </c>
      <c r="B103" s="22" t="str">
        <f>'Historical FY16-FY25'!B102</f>
        <v>City</v>
      </c>
      <c r="C103" s="3" t="s">
        <v>307</v>
      </c>
      <c r="D103" s="33" t="s">
        <v>260</v>
      </c>
      <c r="E103" s="3">
        <f>IF(OR('Opportunity Controls'!$B$16="Both",AND('Opportunity Controls'!$B$16="Counties",$B103="County"),AND('Opportunity Controls'!$B$16="Cities",$B103="City")),1,0)</f>
        <v>0</v>
      </c>
      <c r="F103" s="23">
        <f>'Schools 1pct Profile'!E103</f>
        <v>684124.43868349202</v>
      </c>
      <c r="G103" s="23">
        <f>'Schools 1pct Profile'!H103</f>
        <v>19641930.535533201</v>
      </c>
      <c r="H103" s="34">
        <f>IFERROR(($G103/MAX($G$6:$G$138))^'Opportunity Controls'!$B$14*100,0)</f>
        <v>10.261459247737649</v>
      </c>
      <c r="I103" s="35">
        <f>IFERROR(INDEX('Opportunity Controls'!$B$6:$B$9,MATCH($D103,'Opportunity Controls'!$A$6:$A$9,0)),1)</f>
        <v>0.7</v>
      </c>
      <c r="J103" s="34" t="str">
        <f>IF($E103=0,"",$H103*$I103)</f>
        <v/>
      </c>
      <c r="K103" s="36" t="str">
        <f>IF($E103=0,"",RANK($J103,$J$6:$J$138))</f>
        <v/>
      </c>
      <c r="L103" s="36" t="str">
        <f>IF($E103=0,"",8-ROUNDUP($K103/COUNT($J$6:$J$138)*7,0))</f>
        <v/>
      </c>
      <c r="M103" s="3" t="str">
        <f>IF($E103=0,"",IF($L103&gt;=6,"Priority 1",IF($L103&gt;=5,"Priority 2",IF($L103&gt;=3,"Watch","Low"))))</f>
        <v/>
      </c>
      <c r="N103" s="37" t="str">
        <f>IF($E103=0,"",IF(AND($F103&gt;='Opportunity Controls'!$B$15,$L103&gt;=6),"YES",""))</f>
        <v/>
      </c>
      <c r="O103" s="34">
        <f>IF($E103=0,0,$H103*$I103)</f>
        <v>0</v>
      </c>
    </row>
    <row r="104" spans="1:15">
      <c r="A104" s="22" t="str">
        <f>'Historical FY16-FY25'!A103</f>
        <v>Charlottesville City</v>
      </c>
      <c r="B104" s="22" t="str">
        <f>'Historical FY16-FY25'!B103</f>
        <v>City</v>
      </c>
      <c r="C104" s="3" t="s">
        <v>306</v>
      </c>
      <c r="D104" s="33" t="s">
        <v>260</v>
      </c>
      <c r="E104" s="3">
        <f>IF(OR('Opportunity Controls'!$B$16="Both",AND('Opportunity Controls'!$B$16="Counties",$B104="County"),AND('Opportunity Controls'!$B$16="Cities",$B104="City")),1,0)</f>
        <v>0</v>
      </c>
      <c r="F104" s="23">
        <f>'Schools 1pct Profile'!E104</f>
        <v>15370184.576248623</v>
      </c>
      <c r="G104" s="23">
        <f>'Schools 1pct Profile'!H104</f>
        <v>433756177.56224805</v>
      </c>
      <c r="H104" s="34">
        <f>IFERROR(($G104/MAX($G$6:$G$138))^'Opportunity Controls'!$B$14*100,0)</f>
        <v>33.262316800214251</v>
      </c>
      <c r="I104" s="35">
        <f>IFERROR(INDEX('Opportunity Controls'!$B$6:$B$9,MATCH($D104,'Opportunity Controls'!$A$6:$A$9,0)),1)</f>
        <v>0.7</v>
      </c>
      <c r="J104" s="34" t="str">
        <f>IF($E104=0,"",$H104*$I104)</f>
        <v/>
      </c>
      <c r="K104" s="36" t="str">
        <f>IF($E104=0,"",RANK($J104,$J$6:$J$138))</f>
        <v/>
      </c>
      <c r="L104" s="36" t="str">
        <f>IF($E104=0,"",8-ROUNDUP($K104/COUNT($J$6:$J$138)*7,0))</f>
        <v/>
      </c>
      <c r="M104" s="3" t="str">
        <f>IF($E104=0,"",IF($L104&gt;=6,"Priority 1",IF($L104&gt;=5,"Priority 2",IF($L104&gt;=3,"Watch","Low"))))</f>
        <v/>
      </c>
      <c r="N104" s="37" t="str">
        <f>IF($E104=0,"",IF(AND($F104&gt;='Opportunity Controls'!$B$15,$L104&gt;=6),"YES",""))</f>
        <v/>
      </c>
      <c r="O104" s="34">
        <f>IF($E104=0,0,$H104*$I104)</f>
        <v>0</v>
      </c>
    </row>
    <row r="105" spans="1:15">
      <c r="A105" s="22" t="str">
        <f>'Historical FY16-FY25'!A104</f>
        <v>Chesapeake City</v>
      </c>
      <c r="B105" s="22" t="str">
        <f>'Historical FY16-FY25'!B104</f>
        <v>City</v>
      </c>
      <c r="C105" s="3" t="s">
        <v>314</v>
      </c>
      <c r="D105" s="33" t="s">
        <v>260</v>
      </c>
      <c r="E105" s="3">
        <f>IF(OR('Opportunity Controls'!$B$16="Both",AND('Opportunity Controls'!$B$16="Counties",$B105="County"),AND('Opportunity Controls'!$B$16="Cities",$B105="City")),1,0)</f>
        <v>0</v>
      </c>
      <c r="F105" s="23">
        <f>'Schools 1pct Profile'!E105</f>
        <v>65696672.87002074</v>
      </c>
      <c r="G105" s="23">
        <f>'Schools 1pct Profile'!H105</f>
        <v>1968177581.6670222</v>
      </c>
      <c r="H105" s="34">
        <f>IFERROR(($G105/MAX($G$6:$G$138))^'Opportunity Controls'!$B$14*100,0)</f>
        <v>59.094024310132212</v>
      </c>
      <c r="I105" s="35">
        <f>IFERROR(INDEX('Opportunity Controls'!$B$6:$B$9,MATCH($D105,'Opportunity Controls'!$A$6:$A$9,0)),1)</f>
        <v>0.7</v>
      </c>
      <c r="J105" s="34" t="str">
        <f>IF($E105=0,"",$H105*$I105)</f>
        <v/>
      </c>
      <c r="K105" s="36" t="str">
        <f>IF($E105=0,"",RANK($J105,$J$6:$J$138))</f>
        <v/>
      </c>
      <c r="L105" s="36" t="str">
        <f>IF($E105=0,"",8-ROUNDUP($K105/COUNT($J$6:$J$138)*7,0))</f>
        <v/>
      </c>
      <c r="M105" s="3" t="str">
        <f>IF($E105=0,"",IF($L105&gt;=6,"Priority 1",IF($L105&gt;=5,"Priority 2",IF($L105&gt;=3,"Watch","Low"))))</f>
        <v/>
      </c>
      <c r="N105" s="37" t="str">
        <f>IF($E105=0,"",IF(AND($F105&gt;='Opportunity Controls'!$B$15,$L105&gt;=6),"YES",""))</f>
        <v/>
      </c>
      <c r="O105" s="34">
        <f>IF($E105=0,0,$H105*$I105)</f>
        <v>0</v>
      </c>
    </row>
    <row r="106" spans="1:15">
      <c r="A106" s="22" t="str">
        <f>'Historical FY16-FY25'!A105</f>
        <v>Colonial Heights City</v>
      </c>
      <c r="B106" s="22" t="str">
        <f>'Historical FY16-FY25'!B105</f>
        <v>City</v>
      </c>
      <c r="C106" s="3" t="s">
        <v>312</v>
      </c>
      <c r="D106" s="33" t="s">
        <v>260</v>
      </c>
      <c r="E106" s="3">
        <f>IF(OR('Opportunity Controls'!$B$16="Both",AND('Opportunity Controls'!$B$16="Counties",$B106="County"),AND('Opportunity Controls'!$B$16="Cities",$B106="City")),1,0)</f>
        <v>0</v>
      </c>
      <c r="F106" s="23">
        <f>'Schools 1pct Profile'!E106</f>
        <v>10916722.09448682</v>
      </c>
      <c r="G106" s="23">
        <f>'Schools 1pct Profile'!H106</f>
        <v>308429524.87053496</v>
      </c>
      <c r="H106" s="34">
        <f>IFERROR(($G106/MAX($G$6:$G$138))^'Opportunity Controls'!$B$14*100,0)</f>
        <v>29.219878036784962</v>
      </c>
      <c r="I106" s="35">
        <f>IFERROR(INDEX('Opportunity Controls'!$B$6:$B$9,MATCH($D106,'Opportunity Controls'!$A$6:$A$9,0)),1)</f>
        <v>0.7</v>
      </c>
      <c r="J106" s="34" t="str">
        <f>IF($E106=0,"",$H106*$I106)</f>
        <v/>
      </c>
      <c r="K106" s="36" t="str">
        <f>IF($E106=0,"",RANK($J106,$J$6:$J$138))</f>
        <v/>
      </c>
      <c r="L106" s="36" t="str">
        <f>IF($E106=0,"",8-ROUNDUP($K106/COUNT($J$6:$J$138)*7,0))</f>
        <v/>
      </c>
      <c r="M106" s="3" t="str">
        <f>IF($E106=0,"",IF($L106&gt;=6,"Priority 1",IF($L106&gt;=5,"Priority 2",IF($L106&gt;=3,"Watch","Low"))))</f>
        <v/>
      </c>
      <c r="N106" s="37" t="str">
        <f>IF($E106=0,"",IF(AND($F106&gt;='Opportunity Controls'!$B$15,$L106&gt;=6),"YES",""))</f>
        <v/>
      </c>
      <c r="O106" s="34">
        <f>IF($E106=0,0,$H106*$I106)</f>
        <v>0</v>
      </c>
    </row>
    <row r="107" spans="1:15">
      <c r="A107" s="22" t="str">
        <f>'Historical FY16-FY25'!A106</f>
        <v>Covington City</v>
      </c>
      <c r="B107" s="22" t="str">
        <f>'Historical FY16-FY25'!B106</f>
        <v>City</v>
      </c>
      <c r="C107" s="3" t="s">
        <v>307</v>
      </c>
      <c r="D107" s="33" t="s">
        <v>260</v>
      </c>
      <c r="E107" s="3">
        <f>IF(OR('Opportunity Controls'!$B$16="Both",AND('Opportunity Controls'!$B$16="Counties",$B107="County"),AND('Opportunity Controls'!$B$16="Cities",$B107="City")),1,0)</f>
        <v>0</v>
      </c>
      <c r="F107" s="23">
        <f>'Schools 1pct Profile'!E107</f>
        <v>1925811.2815188414</v>
      </c>
      <c r="G107" s="23">
        <f>'Schools 1pct Profile'!H107</f>
        <v>53821548.488240644</v>
      </c>
      <c r="H107" s="34">
        <f>IFERROR(($G107/MAX($G$6:$G$138))^'Opportunity Controls'!$B$14*100,0)</f>
        <v>15.050900736073045</v>
      </c>
      <c r="I107" s="35">
        <f>IFERROR(INDEX('Opportunity Controls'!$B$6:$B$9,MATCH($D107,'Opportunity Controls'!$A$6:$A$9,0)),1)</f>
        <v>0.7</v>
      </c>
      <c r="J107" s="34" t="str">
        <f>IF($E107=0,"",$H107*$I107)</f>
        <v/>
      </c>
      <c r="K107" s="36" t="str">
        <f>IF($E107=0,"",RANK($J107,$J$6:$J$138))</f>
        <v/>
      </c>
      <c r="L107" s="36" t="str">
        <f>IF($E107=0,"",8-ROUNDUP($K107/COUNT($J$6:$J$138)*7,0))</f>
        <v/>
      </c>
      <c r="M107" s="3" t="str">
        <f>IF($E107=0,"",IF($L107&gt;=6,"Priority 1",IF($L107&gt;=5,"Priority 2",IF($L107&gt;=3,"Watch","Low"))))</f>
        <v/>
      </c>
      <c r="N107" s="37" t="str">
        <f>IF($E107=0,"",IF(AND($F107&gt;='Opportunity Controls'!$B$15,$L107&gt;=6),"YES",""))</f>
        <v/>
      </c>
      <c r="O107" s="34">
        <f>IF($E107=0,0,$H107*$I107)</f>
        <v>0</v>
      </c>
    </row>
    <row r="108" spans="1:15">
      <c r="A108" s="22" t="str">
        <f>'Historical FY16-FY25'!A107</f>
        <v>Danville City</v>
      </c>
      <c r="B108" s="22" t="str">
        <f>'Historical FY16-FY25'!B107</f>
        <v>City</v>
      </c>
      <c r="C108" s="3" t="s">
        <v>309</v>
      </c>
      <c r="D108" s="33" t="s">
        <v>262</v>
      </c>
      <c r="E108" s="3">
        <f>IF(OR('Opportunity Controls'!$B$16="Both",AND('Opportunity Controls'!$B$16="Counties",$B108="County"),AND('Opportunity Controls'!$B$16="Cities",$B108="City")),1,0)</f>
        <v>0</v>
      </c>
      <c r="F108" s="23">
        <f>'Schools 1pct Profile'!E108</f>
        <v>15068397.022132391</v>
      </c>
      <c r="G108" s="23">
        <f>'Schools 1pct Profile'!H108</f>
        <v>464297608.82676506</v>
      </c>
      <c r="H108" s="34">
        <f>IFERROR(($G108/MAX($G$6:$G$138))^'Opportunity Controls'!$B$14*100,0)</f>
        <v>34.133576017141735</v>
      </c>
      <c r="I108" s="35">
        <f>IFERROR(INDEX('Opportunity Controls'!$B$6:$B$9,MATCH($D108,'Opportunity Controls'!$A$6:$A$9,0)),1)</f>
        <v>0.35</v>
      </c>
      <c r="J108" s="34" t="str">
        <f>IF($E108=0,"",$H108*$I108)</f>
        <v/>
      </c>
      <c r="K108" s="36" t="str">
        <f>IF($E108=0,"",RANK($J108,$J$6:$J$138))</f>
        <v/>
      </c>
      <c r="L108" s="36" t="str">
        <f>IF($E108=0,"",8-ROUNDUP($K108/COUNT($J$6:$J$138)*7,0))</f>
        <v/>
      </c>
      <c r="M108" s="3" t="str">
        <f>IF($E108=0,"",IF($L108&gt;=6,"Priority 1",IF($L108&gt;=5,"Priority 2",IF($L108&gt;=3,"Watch","Low"))))</f>
        <v/>
      </c>
      <c r="N108" s="37" t="str">
        <f>IF($E108=0,"",IF(AND($F108&gt;='Opportunity Controls'!$B$15,$L108&gt;=6),"YES",""))</f>
        <v/>
      </c>
      <c r="O108" s="34">
        <f>IF($E108=0,0,$H108*$I108)</f>
        <v>0</v>
      </c>
    </row>
    <row r="109" spans="1:15">
      <c r="A109" s="22" t="str">
        <f>'Historical FY16-FY25'!A108</f>
        <v>Emporia City</v>
      </c>
      <c r="B109" s="22" t="str">
        <f>'Historical FY16-FY25'!B108</f>
        <v>City</v>
      </c>
      <c r="C109" s="3" t="s">
        <v>312</v>
      </c>
      <c r="D109" s="33" t="s">
        <v>256</v>
      </c>
      <c r="E109" s="3">
        <f>IF(OR('Opportunity Controls'!$B$16="Both",AND('Opportunity Controls'!$B$16="Counties",$B109="County"),AND('Opportunity Controls'!$B$16="Cities",$B109="City")),1,0)</f>
        <v>0</v>
      </c>
      <c r="F109" s="23">
        <f>'Schools 1pct Profile'!E109</f>
        <v>3089056.3440170367</v>
      </c>
      <c r="G109" s="23">
        <f>'Schools 1pct Profile'!H109</f>
        <v>96263645.546330854</v>
      </c>
      <c r="H109" s="34">
        <f>IFERROR(($G109/MAX($G$6:$G$138))^'Opportunity Controls'!$B$14*100,0)</f>
        <v>18.772184568833961</v>
      </c>
      <c r="I109" s="35">
        <f>IFERROR(INDEX('Opportunity Controls'!$B$6:$B$9,MATCH($D109,'Opportunity Controls'!$A$6:$A$9,0)),1)</f>
        <v>1</v>
      </c>
      <c r="J109" s="34" t="str">
        <f>IF($E109=0,"",$H109*$I109)</f>
        <v/>
      </c>
      <c r="K109" s="36" t="str">
        <f>IF($E109=0,"",RANK($J109,$J$6:$J$138))</f>
        <v/>
      </c>
      <c r="L109" s="36" t="str">
        <f>IF($E109=0,"",8-ROUNDUP($K109/COUNT($J$6:$J$138)*7,0))</f>
        <v/>
      </c>
      <c r="M109" s="3" t="str">
        <f>IF($E109=0,"",IF($L109&gt;=6,"Priority 1",IF($L109&gt;=5,"Priority 2",IF($L109&gt;=3,"Watch","Low"))))</f>
        <v/>
      </c>
      <c r="N109" s="37" t="str">
        <f>IF($E109=0,"",IF(AND($F109&gt;='Opportunity Controls'!$B$15,$L109&gt;=6),"YES",""))</f>
        <v/>
      </c>
      <c r="O109" s="34">
        <f>IF($E109=0,0,$H109*$I109)</f>
        <v>0</v>
      </c>
    </row>
    <row r="110" spans="1:15">
      <c r="A110" s="22" t="str">
        <f>'Historical FY16-FY25'!A109</f>
        <v>Fairfax City</v>
      </c>
      <c r="B110" s="22" t="str">
        <f>'Historical FY16-FY25'!B109</f>
        <v>City</v>
      </c>
      <c r="C110" s="3" t="s">
        <v>310</v>
      </c>
      <c r="D110" s="33" t="s">
        <v>256</v>
      </c>
      <c r="E110" s="3">
        <f>IF(OR('Opportunity Controls'!$B$16="Both",AND('Opportunity Controls'!$B$16="Counties",$B110="County"),AND('Opportunity Controls'!$B$16="Cities",$B110="City")),1,0)</f>
        <v>0</v>
      </c>
      <c r="F110" s="23">
        <f>'Schools 1pct Profile'!E110</f>
        <v>14320888.611874102</v>
      </c>
      <c r="G110" s="23">
        <f>'Schools 1pct Profile'!H110</f>
        <v>380113042.08059305</v>
      </c>
      <c r="H110" s="34">
        <f>IFERROR(($G110/MAX($G$6:$G$138))^'Opportunity Controls'!$B$14*100,0)</f>
        <v>31.63486553295175</v>
      </c>
      <c r="I110" s="35">
        <f>IFERROR(INDEX('Opportunity Controls'!$B$6:$B$9,MATCH($D110,'Opportunity Controls'!$A$6:$A$9,0)),1)</f>
        <v>1</v>
      </c>
      <c r="J110" s="34" t="str">
        <f>IF($E110=0,"",$H110*$I110)</f>
        <v/>
      </c>
      <c r="K110" s="36" t="str">
        <f>IF($E110=0,"",RANK($J110,$J$6:$J$138))</f>
        <v/>
      </c>
      <c r="L110" s="36" t="str">
        <f>IF($E110=0,"",8-ROUNDUP($K110/COUNT($J$6:$J$138)*7,0))</f>
        <v/>
      </c>
      <c r="M110" s="3" t="str">
        <f>IF($E110=0,"",IF($L110&gt;=6,"Priority 1",IF($L110&gt;=5,"Priority 2",IF($L110&gt;=3,"Watch","Low"))))</f>
        <v/>
      </c>
      <c r="N110" s="37" t="str">
        <f>IF($E110=0,"",IF(AND($F110&gt;='Opportunity Controls'!$B$15,$L110&gt;=6),"YES",""))</f>
        <v/>
      </c>
      <c r="O110" s="34">
        <f>IF($E110=0,0,$H110*$I110)</f>
        <v>0</v>
      </c>
    </row>
    <row r="111" spans="1:15">
      <c r="A111" s="22" t="str">
        <f>'Historical FY16-FY25'!A110</f>
        <v>Falls Church City</v>
      </c>
      <c r="B111" s="22" t="str">
        <f>'Historical FY16-FY25'!B110</f>
        <v>City</v>
      </c>
      <c r="C111" s="3" t="s">
        <v>310</v>
      </c>
      <c r="D111" s="33" t="s">
        <v>260</v>
      </c>
      <c r="E111" s="3">
        <f>IF(OR('Opportunity Controls'!$B$16="Both",AND('Opportunity Controls'!$B$16="Counties",$B111="County"),AND('Opportunity Controls'!$B$16="Cities",$B111="City")),1,0)</f>
        <v>0</v>
      </c>
      <c r="F111" s="23">
        <f>'Schools 1pct Profile'!E111</f>
        <v>7773741.2833369933</v>
      </c>
      <c r="G111" s="23">
        <f>'Schools 1pct Profile'!H111</f>
        <v>230484419.24993622</v>
      </c>
      <c r="H111" s="34">
        <f>IFERROR(($G111/MAX($G$6:$G$138))^'Opportunity Controls'!$B$14*100,0)</f>
        <v>26.157903744734117</v>
      </c>
      <c r="I111" s="35">
        <f>IFERROR(INDEX('Opportunity Controls'!$B$6:$B$9,MATCH($D111,'Opportunity Controls'!$A$6:$A$9,0)),1)</f>
        <v>0.7</v>
      </c>
      <c r="J111" s="34" t="str">
        <f>IF($E111=0,"",$H111*$I111)</f>
        <v/>
      </c>
      <c r="K111" s="36" t="str">
        <f>IF($E111=0,"",RANK($J111,$J$6:$J$138))</f>
        <v/>
      </c>
      <c r="L111" s="36" t="str">
        <f>IF($E111=0,"",8-ROUNDUP($K111/COUNT($J$6:$J$138)*7,0))</f>
        <v/>
      </c>
      <c r="M111" s="3" t="str">
        <f>IF($E111=0,"",IF($L111&gt;=6,"Priority 1",IF($L111&gt;=5,"Priority 2",IF($L111&gt;=3,"Watch","Low"))))</f>
        <v/>
      </c>
      <c r="N111" s="37" t="str">
        <f>IF($E111=0,"",IF(AND($F111&gt;='Opportunity Controls'!$B$15,$L111&gt;=6),"YES",""))</f>
        <v/>
      </c>
      <c r="O111" s="34">
        <f>IF($E111=0,0,$H111*$I111)</f>
        <v>0</v>
      </c>
    </row>
    <row r="112" spans="1:15">
      <c r="A112" s="22" t="str">
        <f>'Historical FY16-FY25'!A111</f>
        <v>Franklin City</v>
      </c>
      <c r="B112" s="22" t="str">
        <f>'Historical FY16-FY25'!B111</f>
        <v>City</v>
      </c>
      <c r="C112" s="3" t="s">
        <v>314</v>
      </c>
      <c r="D112" s="33" t="s">
        <v>260</v>
      </c>
      <c r="E112" s="3">
        <f>IF(OR('Opportunity Controls'!$B$16="Both",AND('Opportunity Controls'!$B$16="Counties",$B112="County"),AND('Opportunity Controls'!$B$16="Cities",$B112="City")),1,0)</f>
        <v>0</v>
      </c>
      <c r="F112" s="23">
        <f>'Schools 1pct Profile'!E112</f>
        <v>2564263.467076845</v>
      </c>
      <c r="G112" s="23">
        <f>'Schools 1pct Profile'!H112</f>
        <v>70300595.244396567</v>
      </c>
      <c r="H112" s="34">
        <f>IFERROR(($G112/MAX($G$6:$G$138))^'Opportunity Controls'!$B$14*100,0)</f>
        <v>16.658794110257922</v>
      </c>
      <c r="I112" s="35">
        <f>IFERROR(INDEX('Opportunity Controls'!$B$6:$B$9,MATCH($D112,'Opportunity Controls'!$A$6:$A$9,0)),1)</f>
        <v>0.7</v>
      </c>
      <c r="J112" s="34" t="str">
        <f>IF($E112=0,"",$H112*$I112)</f>
        <v/>
      </c>
      <c r="K112" s="36" t="str">
        <f>IF($E112=0,"",RANK($J112,$J$6:$J$138))</f>
        <v/>
      </c>
      <c r="L112" s="36" t="str">
        <f>IF($E112=0,"",8-ROUNDUP($K112/COUNT($J$6:$J$138)*7,0))</f>
        <v/>
      </c>
      <c r="M112" s="3" t="str">
        <f>IF($E112=0,"",IF($L112&gt;=6,"Priority 1",IF($L112&gt;=5,"Priority 2",IF($L112&gt;=3,"Watch","Low"))))</f>
        <v/>
      </c>
      <c r="N112" s="37" t="str">
        <f>IF($E112=0,"",IF(AND($F112&gt;='Opportunity Controls'!$B$15,$L112&gt;=6),"YES",""))</f>
        <v/>
      </c>
      <c r="O112" s="34">
        <f>IF($E112=0,0,$H112*$I112)</f>
        <v>0</v>
      </c>
    </row>
    <row r="113" spans="1:15">
      <c r="A113" s="22" t="str">
        <f>'Historical FY16-FY25'!A112</f>
        <v>Fredericksburg City</v>
      </c>
      <c r="B113" s="22" t="str">
        <f>'Historical FY16-FY25'!B112</f>
        <v>City</v>
      </c>
      <c r="C113" s="3" t="s">
        <v>310</v>
      </c>
      <c r="D113" s="33" t="s">
        <v>258</v>
      </c>
      <c r="E113" s="3">
        <f>IF(OR('Opportunity Controls'!$B$16="Both",AND('Opportunity Controls'!$B$16="Counties",$B113="County"),AND('Opportunity Controls'!$B$16="Cities",$B113="City")),1,0)</f>
        <v>0</v>
      </c>
      <c r="F113" s="23">
        <f>'Schools 1pct Profile'!E113</f>
        <v>17975864.547103863</v>
      </c>
      <c r="G113" s="23">
        <f>'Schools 1pct Profile'!H113</f>
        <v>539432521.5446974</v>
      </c>
      <c r="H113" s="34">
        <f>IFERROR(($G113/MAX($G$6:$G$138))^'Opportunity Controls'!$B$14*100,0)</f>
        <v>36.135598123690698</v>
      </c>
      <c r="I113" s="35">
        <f>IFERROR(INDEX('Opportunity Controls'!$B$6:$B$9,MATCH($D113,'Opportunity Controls'!$A$6:$A$9,0)),1)</f>
        <v>0.8</v>
      </c>
      <c r="J113" s="34" t="str">
        <f>IF($E113=0,"",$H113*$I113)</f>
        <v/>
      </c>
      <c r="K113" s="36" t="str">
        <f>IF($E113=0,"",RANK($J113,$J$6:$J$138))</f>
        <v/>
      </c>
      <c r="L113" s="36" t="str">
        <f>IF($E113=0,"",8-ROUNDUP($K113/COUNT($J$6:$J$138)*7,0))</f>
        <v/>
      </c>
      <c r="M113" s="3" t="str">
        <f>IF($E113=0,"",IF($L113&gt;=6,"Priority 1",IF($L113&gt;=5,"Priority 2",IF($L113&gt;=3,"Watch","Low"))))</f>
        <v/>
      </c>
      <c r="N113" s="37" t="str">
        <f>IF($E113=0,"",IF(AND($F113&gt;='Opportunity Controls'!$B$15,$L113&gt;=6),"YES",""))</f>
        <v/>
      </c>
      <c r="O113" s="34">
        <f>IF($E113=0,0,$H113*$I113)</f>
        <v>0</v>
      </c>
    </row>
    <row r="114" spans="1:15">
      <c r="A114" s="22" t="str">
        <f>'Historical FY16-FY25'!A113</f>
        <v>Galax City</v>
      </c>
      <c r="B114" s="22" t="str">
        <f>'Historical FY16-FY25'!B113</f>
        <v>City</v>
      </c>
      <c r="C114" s="3" t="s">
        <v>311</v>
      </c>
      <c r="D114" s="33" t="s">
        <v>260</v>
      </c>
      <c r="E114" s="3">
        <f>IF(OR('Opportunity Controls'!$B$16="Both",AND('Opportunity Controls'!$B$16="Counties",$B114="County"),AND('Opportunity Controls'!$B$16="Cities",$B114="City")),1,0)</f>
        <v>0</v>
      </c>
      <c r="F114" s="23">
        <f>'Schools 1pct Profile'!E114</f>
        <v>3673297.4918186972</v>
      </c>
      <c r="G114" s="23">
        <f>'Schools 1pct Profile'!H114</f>
        <v>111738141.3686703</v>
      </c>
      <c r="H114" s="34">
        <f>IFERROR(($G114/MAX($G$6:$G$138))^'Opportunity Controls'!$B$14*100,0)</f>
        <v>19.86624047640252</v>
      </c>
      <c r="I114" s="35">
        <f>IFERROR(INDEX('Opportunity Controls'!$B$6:$B$9,MATCH($D114,'Opportunity Controls'!$A$6:$A$9,0)),1)</f>
        <v>0.7</v>
      </c>
      <c r="J114" s="34" t="str">
        <f>IF($E114=0,"",$H114*$I114)</f>
        <v/>
      </c>
      <c r="K114" s="36" t="str">
        <f>IF($E114=0,"",RANK($J114,$J$6:$J$138))</f>
        <v/>
      </c>
      <c r="L114" s="36" t="str">
        <f>IF($E114=0,"",8-ROUNDUP($K114/COUNT($J$6:$J$138)*7,0))</f>
        <v/>
      </c>
      <c r="M114" s="3" t="str">
        <f>IF($E114=0,"",IF($L114&gt;=6,"Priority 1",IF($L114&gt;=5,"Priority 2",IF($L114&gt;=3,"Watch","Low"))))</f>
        <v/>
      </c>
      <c r="N114" s="37" t="str">
        <f>IF($E114=0,"",IF(AND($F114&gt;='Opportunity Controls'!$B$15,$L114&gt;=6),"YES",""))</f>
        <v/>
      </c>
      <c r="O114" s="34">
        <f>IF($E114=0,0,$H114*$I114)</f>
        <v>0</v>
      </c>
    </row>
    <row r="115" spans="1:15">
      <c r="A115" s="22" t="str">
        <f>'Historical FY16-FY25'!A114</f>
        <v>Hampton City</v>
      </c>
      <c r="B115" s="22" t="str">
        <f>'Historical FY16-FY25'!B114</f>
        <v>City</v>
      </c>
      <c r="C115" s="3" t="s">
        <v>314</v>
      </c>
      <c r="D115" s="33" t="s">
        <v>260</v>
      </c>
      <c r="E115" s="3">
        <f>IF(OR('Opportunity Controls'!$B$16="Both",AND('Opportunity Controls'!$B$16="Counties",$B115="County"),AND('Opportunity Controls'!$B$16="Cities",$B115="City")),1,0)</f>
        <v>0</v>
      </c>
      <c r="F115" s="23">
        <f>'Schools 1pct Profile'!E115</f>
        <v>25638899.702790972</v>
      </c>
      <c r="G115" s="23">
        <f>'Schools 1pct Profile'!H115</f>
        <v>748973347.62658036</v>
      </c>
      <c r="H115" s="34">
        <f>IFERROR(($G115/MAX($G$6:$G$138))^'Opportunity Controls'!$B$14*100,0)</f>
        <v>40.935147344843273</v>
      </c>
      <c r="I115" s="35">
        <f>IFERROR(INDEX('Opportunity Controls'!$B$6:$B$9,MATCH($D115,'Opportunity Controls'!$A$6:$A$9,0)),1)</f>
        <v>0.7</v>
      </c>
      <c r="J115" s="34" t="str">
        <f>IF($E115=0,"",$H115*$I115)</f>
        <v/>
      </c>
      <c r="K115" s="36" t="str">
        <f>IF($E115=0,"",RANK($J115,$J$6:$J$138))</f>
        <v/>
      </c>
      <c r="L115" s="36" t="str">
        <f>IF($E115=0,"",8-ROUNDUP($K115/COUNT($J$6:$J$138)*7,0))</f>
        <v/>
      </c>
      <c r="M115" s="3" t="str">
        <f>IF($E115=0,"",IF($L115&gt;=6,"Priority 1",IF($L115&gt;=5,"Priority 2",IF($L115&gt;=3,"Watch","Low"))))</f>
        <v/>
      </c>
      <c r="N115" s="37" t="str">
        <f>IF($E115=0,"",IF(AND($F115&gt;='Opportunity Controls'!$B$15,$L115&gt;=6),"YES",""))</f>
        <v/>
      </c>
      <c r="O115" s="34">
        <f>IF($E115=0,0,$H115*$I115)</f>
        <v>0</v>
      </c>
    </row>
    <row r="116" spans="1:15">
      <c r="A116" s="22" t="str">
        <f>'Historical FY16-FY25'!A115</f>
        <v>Harrisonburg City</v>
      </c>
      <c r="B116" s="22" t="str">
        <f>'Historical FY16-FY25'!B115</f>
        <v>City</v>
      </c>
      <c r="C116" s="3" t="s">
        <v>307</v>
      </c>
      <c r="D116" s="33" t="s">
        <v>260</v>
      </c>
      <c r="E116" s="3">
        <f>IF(OR('Opportunity Controls'!$B$16="Both",AND('Opportunity Controls'!$B$16="Counties",$B116="County"),AND('Opportunity Controls'!$B$16="Cities",$B116="City")),1,0)</f>
        <v>0</v>
      </c>
      <c r="F116" s="23">
        <f>'Schools 1pct Profile'!E116</f>
        <v>20524030.429942142</v>
      </c>
      <c r="G116" s="23">
        <f>'Schools 1pct Profile'!H116</f>
        <v>616474897.28935015</v>
      </c>
      <c r="H116" s="34">
        <f>IFERROR(($G116/MAX($G$6:$G$138))^'Opportunity Controls'!$B$14*100,0)</f>
        <v>38.016050042880174</v>
      </c>
      <c r="I116" s="35">
        <f>IFERROR(INDEX('Opportunity Controls'!$B$6:$B$9,MATCH($D116,'Opportunity Controls'!$A$6:$A$9,0)),1)</f>
        <v>0.7</v>
      </c>
      <c r="J116" s="34" t="str">
        <f>IF($E116=0,"",$H116*$I116)</f>
        <v/>
      </c>
      <c r="K116" s="36" t="str">
        <f>IF($E116=0,"",RANK($J116,$J$6:$J$138))</f>
        <v/>
      </c>
      <c r="L116" s="36" t="str">
        <f>IF($E116=0,"",8-ROUNDUP($K116/COUNT($J$6:$J$138)*7,0))</f>
        <v/>
      </c>
      <c r="M116" s="3" t="str">
        <f>IF($E116=0,"",IF($L116&gt;=6,"Priority 1",IF($L116&gt;=5,"Priority 2",IF($L116&gt;=3,"Watch","Low"))))</f>
        <v/>
      </c>
      <c r="N116" s="37" t="str">
        <f>IF($E116=0,"",IF(AND($F116&gt;='Opportunity Controls'!$B$15,$L116&gt;=6),"YES",""))</f>
        <v/>
      </c>
      <c r="O116" s="34">
        <f>IF($E116=0,0,$H116*$I116)</f>
        <v>0</v>
      </c>
    </row>
    <row r="117" spans="1:15">
      <c r="A117" s="22" t="str">
        <f>'Historical FY16-FY25'!A116</f>
        <v>Hopewell City</v>
      </c>
      <c r="B117" s="22" t="str">
        <f>'Historical FY16-FY25'!B116</f>
        <v>City</v>
      </c>
      <c r="C117" s="3" t="s">
        <v>312</v>
      </c>
      <c r="D117" s="33" t="s">
        <v>260</v>
      </c>
      <c r="E117" s="3">
        <f>IF(OR('Opportunity Controls'!$B$16="Both",AND('Opportunity Controls'!$B$16="Counties",$B117="County"),AND('Opportunity Controls'!$B$16="Cities",$B117="City")),1,0)</f>
        <v>0</v>
      </c>
      <c r="F117" s="23">
        <f>'Schools 1pct Profile'!E117</f>
        <v>3027868.0758456178</v>
      </c>
      <c r="G117" s="23">
        <f>'Schools 1pct Profile'!H117</f>
        <v>84492870.050516874</v>
      </c>
      <c r="H117" s="34">
        <f>IFERROR(($G117/MAX($G$6:$G$138))^'Opportunity Controls'!$B$14*100,0)</f>
        <v>17.864495807850325</v>
      </c>
      <c r="I117" s="35">
        <f>IFERROR(INDEX('Opportunity Controls'!$B$6:$B$9,MATCH($D117,'Opportunity Controls'!$A$6:$A$9,0)),1)</f>
        <v>0.7</v>
      </c>
      <c r="J117" s="34" t="str">
        <f>IF($E117=0,"",$H117*$I117)</f>
        <v/>
      </c>
      <c r="K117" s="36" t="str">
        <f>IF($E117=0,"",RANK($J117,$J$6:$J$138))</f>
        <v/>
      </c>
      <c r="L117" s="36" t="str">
        <f>IF($E117=0,"",8-ROUNDUP($K117/COUNT($J$6:$J$138)*7,0))</f>
        <v/>
      </c>
      <c r="M117" s="3" t="str">
        <f>IF($E117=0,"",IF($L117&gt;=6,"Priority 1",IF($L117&gt;=5,"Priority 2",IF($L117&gt;=3,"Watch","Low"))))</f>
        <v/>
      </c>
      <c r="N117" s="37" t="str">
        <f>IF($E117=0,"",IF(AND($F117&gt;='Opportunity Controls'!$B$15,$L117&gt;=6),"YES",""))</f>
        <v/>
      </c>
      <c r="O117" s="34">
        <f>IF($E117=0,0,$H117*$I117)</f>
        <v>0</v>
      </c>
    </row>
    <row r="118" spans="1:15">
      <c r="A118" s="22" t="str">
        <f>'Historical FY16-FY25'!A117</f>
        <v>Lexington City</v>
      </c>
      <c r="B118" s="22" t="str">
        <f>'Historical FY16-FY25'!B117</f>
        <v>City</v>
      </c>
      <c r="C118" s="3" t="s">
        <v>307</v>
      </c>
      <c r="D118" s="33" t="s">
        <v>260</v>
      </c>
      <c r="E118" s="3">
        <f>IF(OR('Opportunity Controls'!$B$16="Both",AND('Opportunity Controls'!$B$16="Counties",$B118="County"),AND('Opportunity Controls'!$B$16="Cities",$B118="City")),1,0)</f>
        <v>0</v>
      </c>
      <c r="F118" s="23">
        <f>'Schools 1pct Profile'!E118</f>
        <v>1512398.8054677385</v>
      </c>
      <c r="G118" s="23">
        <f>'Schools 1pct Profile'!H118</f>
        <v>41848331.419759244</v>
      </c>
      <c r="H118" s="34">
        <f>IFERROR(($G118/MAX($G$6:$G$138))^'Opportunity Controls'!$B$14*100,0)</f>
        <v>13.678448369135026</v>
      </c>
      <c r="I118" s="35">
        <f>IFERROR(INDEX('Opportunity Controls'!$B$6:$B$9,MATCH($D118,'Opportunity Controls'!$A$6:$A$9,0)),1)</f>
        <v>0.7</v>
      </c>
      <c r="J118" s="34" t="str">
        <f>IF($E118=0,"",$H118*$I118)</f>
        <v/>
      </c>
      <c r="K118" s="36" t="str">
        <f>IF($E118=0,"",RANK($J118,$J$6:$J$138))</f>
        <v/>
      </c>
      <c r="L118" s="36" t="str">
        <f>IF($E118=0,"",8-ROUNDUP($K118/COUNT($J$6:$J$138)*7,0))</f>
        <v/>
      </c>
      <c r="M118" s="3" t="str">
        <f>IF($E118=0,"",IF($L118&gt;=6,"Priority 1",IF($L118&gt;=5,"Priority 2",IF($L118&gt;=3,"Watch","Low"))))</f>
        <v/>
      </c>
      <c r="N118" s="37" t="str">
        <f>IF($E118=0,"",IF(AND($F118&gt;='Opportunity Controls'!$B$15,$L118&gt;=6),"YES",""))</f>
        <v/>
      </c>
      <c r="O118" s="34">
        <f>IF($E118=0,0,$H118*$I118)</f>
        <v>0</v>
      </c>
    </row>
    <row r="119" spans="1:15">
      <c r="A119" s="22" t="str">
        <f>'Historical FY16-FY25'!A118</f>
        <v>Lynchburg City</v>
      </c>
      <c r="B119" s="22" t="str">
        <f>'Historical FY16-FY25'!B118</f>
        <v>City</v>
      </c>
      <c r="C119" s="3" t="s">
        <v>309</v>
      </c>
      <c r="D119" s="33" t="s">
        <v>260</v>
      </c>
      <c r="E119" s="3">
        <f>IF(OR('Opportunity Controls'!$B$16="Both",AND('Opportunity Controls'!$B$16="Counties",$B119="County"),AND('Opportunity Controls'!$B$16="Cities",$B119="City")),1,0)</f>
        <v>0</v>
      </c>
      <c r="F119" s="23">
        <f>'Schools 1pct Profile'!E119</f>
        <v>24280489.174865149</v>
      </c>
      <c r="G119" s="23">
        <f>'Schools 1pct Profile'!H119</f>
        <v>714802717.14019597</v>
      </c>
      <c r="H119" s="34">
        <f>IFERROR(($G119/MAX($G$6:$G$138))^'Opportunity Controls'!$B$14*100,0)</f>
        <v>40.215168600764613</v>
      </c>
      <c r="I119" s="35">
        <f>IFERROR(INDEX('Opportunity Controls'!$B$6:$B$9,MATCH($D119,'Opportunity Controls'!$A$6:$A$9,0)),1)</f>
        <v>0.7</v>
      </c>
      <c r="J119" s="34" t="str">
        <f>IF($E119=0,"",$H119*$I119)</f>
        <v/>
      </c>
      <c r="K119" s="36" t="str">
        <f>IF($E119=0,"",RANK($J119,$J$6:$J$138))</f>
        <v/>
      </c>
      <c r="L119" s="36" t="str">
        <f>IF($E119=0,"",8-ROUNDUP($K119/COUNT($J$6:$J$138)*7,0))</f>
        <v/>
      </c>
      <c r="M119" s="3" t="str">
        <f>IF($E119=0,"",IF($L119&gt;=6,"Priority 1",IF($L119&gt;=5,"Priority 2",IF($L119&gt;=3,"Watch","Low"))))</f>
        <v/>
      </c>
      <c r="N119" s="37" t="str">
        <f>IF($E119=0,"",IF(AND($F119&gt;='Opportunity Controls'!$B$15,$L119&gt;=6),"YES",""))</f>
        <v/>
      </c>
      <c r="O119" s="34">
        <f>IF($E119=0,0,$H119*$I119)</f>
        <v>0</v>
      </c>
    </row>
    <row r="120" spans="1:15">
      <c r="A120" s="22" t="str">
        <f>'Historical FY16-FY25'!A119</f>
        <v>Manassas City</v>
      </c>
      <c r="B120" s="22" t="str">
        <f>'Historical FY16-FY25'!B119</f>
        <v>City</v>
      </c>
      <c r="C120" s="3" t="s">
        <v>310</v>
      </c>
      <c r="D120" s="33" t="s">
        <v>260</v>
      </c>
      <c r="E120" s="3">
        <f>IF(OR('Opportunity Controls'!$B$16="Both",AND('Opportunity Controls'!$B$16="Counties",$B120="County"),AND('Opportunity Controls'!$B$16="Cities",$B120="City")),1,0)</f>
        <v>0</v>
      </c>
      <c r="F120" s="23">
        <f>'Schools 1pct Profile'!E120</f>
        <v>16478607.502681417</v>
      </c>
      <c r="G120" s="23">
        <f>'Schools 1pct Profile'!H120</f>
        <v>573256886.84637976</v>
      </c>
      <c r="H120" s="34">
        <f>IFERROR(($G120/MAX($G$6:$G$138))^'Opportunity Controls'!$B$14*100,0)</f>
        <v>36.98042232077308</v>
      </c>
      <c r="I120" s="35">
        <f>IFERROR(INDEX('Opportunity Controls'!$B$6:$B$9,MATCH($D120,'Opportunity Controls'!$A$6:$A$9,0)),1)</f>
        <v>0.7</v>
      </c>
      <c r="J120" s="34" t="str">
        <f>IF($E120=0,"",$H120*$I120)</f>
        <v/>
      </c>
      <c r="K120" s="36" t="str">
        <f>IF($E120=0,"",RANK($J120,$J$6:$J$138))</f>
        <v/>
      </c>
      <c r="L120" s="36" t="str">
        <f>IF($E120=0,"",8-ROUNDUP($K120/COUNT($J$6:$J$138)*7,0))</f>
        <v/>
      </c>
      <c r="M120" s="3" t="str">
        <f>IF($E120=0,"",IF($L120&gt;=6,"Priority 1",IF($L120&gt;=5,"Priority 2",IF($L120&gt;=3,"Watch","Low"))))</f>
        <v/>
      </c>
      <c r="N120" s="37" t="str">
        <f>IF($E120=0,"",IF(AND($F120&gt;='Opportunity Controls'!$B$15,$L120&gt;=6),"YES",""))</f>
        <v/>
      </c>
      <c r="O120" s="34">
        <f>IF($E120=0,0,$H120*$I120)</f>
        <v>0</v>
      </c>
    </row>
    <row r="121" spans="1:15">
      <c r="A121" s="22" t="str">
        <f>'Historical FY16-FY25'!A120</f>
        <v>Manassas Park City</v>
      </c>
      <c r="B121" s="22" t="str">
        <f>'Historical FY16-FY25'!B120</f>
        <v>City</v>
      </c>
      <c r="C121" s="3" t="s">
        <v>310</v>
      </c>
      <c r="D121" s="33" t="s">
        <v>260</v>
      </c>
      <c r="E121" s="3">
        <f>IF(OR('Opportunity Controls'!$B$16="Both",AND('Opportunity Controls'!$B$16="Counties",$B121="County"),AND('Opportunity Controls'!$B$16="Cities",$B121="City")),1,0)</f>
        <v>0</v>
      </c>
      <c r="F121" s="23">
        <f>'Schools 1pct Profile'!E121</f>
        <v>2852874.7580012185</v>
      </c>
      <c r="G121" s="23">
        <f>'Schools 1pct Profile'!H121</f>
        <v>79469999.973205015</v>
      </c>
      <c r="H121" s="34">
        <f>IFERROR(($G121/MAX($G$6:$G$138))^'Opportunity Controls'!$B$14*100,0)</f>
        <v>17.453252055925635</v>
      </c>
      <c r="I121" s="35">
        <f>IFERROR(INDEX('Opportunity Controls'!$B$6:$B$9,MATCH($D121,'Opportunity Controls'!$A$6:$A$9,0)),1)</f>
        <v>0.7</v>
      </c>
      <c r="J121" s="34" t="str">
        <f>IF($E121=0,"",$H121*$I121)</f>
        <v/>
      </c>
      <c r="K121" s="36" t="str">
        <f>IF($E121=0,"",RANK($J121,$J$6:$J$138))</f>
        <v/>
      </c>
      <c r="L121" s="36" t="str">
        <f>IF($E121=0,"",8-ROUNDUP($K121/COUNT($J$6:$J$138)*7,0))</f>
        <v/>
      </c>
      <c r="M121" s="3" t="str">
        <f>IF($E121=0,"",IF($L121&gt;=6,"Priority 1",IF($L121&gt;=5,"Priority 2",IF($L121&gt;=3,"Watch","Low"))))</f>
        <v/>
      </c>
      <c r="N121" s="37" t="str">
        <f>IF($E121=0,"",IF(AND($F121&gt;='Opportunity Controls'!$B$15,$L121&gt;=6),"YES",""))</f>
        <v/>
      </c>
      <c r="O121" s="34">
        <f>IF($E121=0,0,$H121*$I121)</f>
        <v>0</v>
      </c>
    </row>
    <row r="122" spans="1:15">
      <c r="A122" s="22" t="str">
        <f>'Historical FY16-FY25'!A121</f>
        <v>Martinsville City</v>
      </c>
      <c r="B122" s="22" t="str">
        <f>'Historical FY16-FY25'!B121</f>
        <v>City</v>
      </c>
      <c r="C122" s="3" t="s">
        <v>309</v>
      </c>
      <c r="D122" s="33" t="s">
        <v>256</v>
      </c>
      <c r="E122" s="3">
        <f>IF(OR('Opportunity Controls'!$B$16="Both",AND('Opportunity Controls'!$B$16="Counties",$B122="County"),AND('Opportunity Controls'!$B$16="Cities",$B122="City")),1,0)</f>
        <v>0</v>
      </c>
      <c r="F122" s="23">
        <f>'Schools 1pct Profile'!E122</f>
        <v>2848906.5619758144</v>
      </c>
      <c r="G122" s="23">
        <f>'Schools 1pct Profile'!H122</f>
        <v>79490312.974093646</v>
      </c>
      <c r="H122" s="34">
        <f>IFERROR(($G122/MAX($G$6:$G$138))^'Opportunity Controls'!$B$14*100,0)</f>
        <v>17.454947160214907</v>
      </c>
      <c r="I122" s="35">
        <f>IFERROR(INDEX('Opportunity Controls'!$B$6:$B$9,MATCH($D122,'Opportunity Controls'!$A$6:$A$9,0)),1)</f>
        <v>1</v>
      </c>
      <c r="J122" s="34" t="str">
        <f>IF($E122=0,"",$H122*$I122)</f>
        <v/>
      </c>
      <c r="K122" s="36" t="str">
        <f>IF($E122=0,"",RANK($J122,$J$6:$J$138))</f>
        <v/>
      </c>
      <c r="L122" s="36" t="str">
        <f>IF($E122=0,"",8-ROUNDUP($K122/COUNT($J$6:$J$138)*7,0))</f>
        <v/>
      </c>
      <c r="M122" s="3" t="str">
        <f>IF($E122=0,"",IF($L122&gt;=6,"Priority 1",IF($L122&gt;=5,"Priority 2",IF($L122&gt;=3,"Watch","Low"))))</f>
        <v/>
      </c>
      <c r="N122" s="37" t="str">
        <f>IF($E122=0,"",IF(AND($F122&gt;='Opportunity Controls'!$B$15,$L122&gt;=6),"YES",""))</f>
        <v/>
      </c>
      <c r="O122" s="34">
        <f>IF($E122=0,0,$H122*$I122)</f>
        <v>0</v>
      </c>
    </row>
    <row r="123" spans="1:15">
      <c r="A123" s="22" t="str">
        <f>'Historical FY16-FY25'!A122</f>
        <v>Newport News City</v>
      </c>
      <c r="B123" s="22" t="str">
        <f>'Historical FY16-FY25'!B122</f>
        <v>City</v>
      </c>
      <c r="C123" s="3" t="s">
        <v>314</v>
      </c>
      <c r="D123" s="33" t="s">
        <v>260</v>
      </c>
      <c r="E123" s="3">
        <f>IF(OR('Opportunity Controls'!$B$16="Both",AND('Opportunity Controls'!$B$16="Counties",$B123="County"),AND('Opportunity Controls'!$B$16="Cities",$B123="City")),1,0)</f>
        <v>0</v>
      </c>
      <c r="F123" s="23">
        <f>'Schools 1pct Profile'!E123</f>
        <v>38641515.566006988</v>
      </c>
      <c r="G123" s="23">
        <f>'Schools 1pct Profile'!H123</f>
        <v>1114252067.8868651</v>
      </c>
      <c r="H123" s="34">
        <f>IFERROR(($G123/MAX($G$6:$G$138))^'Opportunity Controls'!$B$14*100,0)</f>
        <v>47.605030785611604</v>
      </c>
      <c r="I123" s="35">
        <f>IFERROR(INDEX('Opportunity Controls'!$B$6:$B$9,MATCH($D123,'Opportunity Controls'!$A$6:$A$9,0)),1)</f>
        <v>0.7</v>
      </c>
      <c r="J123" s="34" t="str">
        <f>IF($E123=0,"",$H123*$I123)</f>
        <v/>
      </c>
      <c r="K123" s="36" t="str">
        <f>IF($E123=0,"",RANK($J123,$J$6:$J$138))</f>
        <v/>
      </c>
      <c r="L123" s="36" t="str">
        <f>IF($E123=0,"",8-ROUNDUP($K123/COUNT($J$6:$J$138)*7,0))</f>
        <v/>
      </c>
      <c r="M123" s="3" t="str">
        <f>IF($E123=0,"",IF($L123&gt;=6,"Priority 1",IF($L123&gt;=5,"Priority 2",IF($L123&gt;=3,"Watch","Low"))))</f>
        <v/>
      </c>
      <c r="N123" s="37" t="str">
        <f>IF($E123=0,"",IF(AND($F123&gt;='Opportunity Controls'!$B$15,$L123&gt;=6),"YES",""))</f>
        <v/>
      </c>
      <c r="O123" s="34">
        <f>IF($E123=0,0,$H123*$I123)</f>
        <v>0</v>
      </c>
    </row>
    <row r="124" spans="1:15">
      <c r="A124" s="22" t="str">
        <f>'Historical FY16-FY25'!A123</f>
        <v>Norfolk City</v>
      </c>
      <c r="B124" s="22" t="str">
        <f>'Historical FY16-FY25'!B123</f>
        <v>City</v>
      </c>
      <c r="C124" s="3" t="s">
        <v>314</v>
      </c>
      <c r="D124" s="33" t="s">
        <v>260</v>
      </c>
      <c r="E124" s="3">
        <f>IF(OR('Opportunity Controls'!$B$16="Both",AND('Opportunity Controls'!$B$16="Counties",$B124="County"),AND('Opportunity Controls'!$B$16="Cities",$B124="City")),1,0)</f>
        <v>0</v>
      </c>
      <c r="F124" s="23">
        <f>'Schools 1pct Profile'!E124</f>
        <v>52176522.019253187</v>
      </c>
      <c r="G124" s="23">
        <f>'Schools 1pct Profile'!H124</f>
        <v>1519916108.9855554</v>
      </c>
      <c r="H124" s="34">
        <f>IFERROR(($G124/MAX($G$6:$G$138))^'Opportunity Controls'!$B$14*100,0)</f>
        <v>53.566169921652993</v>
      </c>
      <c r="I124" s="35">
        <f>IFERROR(INDEX('Opportunity Controls'!$B$6:$B$9,MATCH($D124,'Opportunity Controls'!$A$6:$A$9,0)),1)</f>
        <v>0.7</v>
      </c>
      <c r="J124" s="34" t="str">
        <f>IF($E124=0,"",$H124*$I124)</f>
        <v/>
      </c>
      <c r="K124" s="36" t="str">
        <f>IF($E124=0,"",RANK($J124,$J$6:$J$138))</f>
        <v/>
      </c>
      <c r="L124" s="36" t="str">
        <f>IF($E124=0,"",8-ROUNDUP($K124/COUNT($J$6:$J$138)*7,0))</f>
        <v/>
      </c>
      <c r="M124" s="3" t="str">
        <f>IF($E124=0,"",IF($L124&gt;=6,"Priority 1",IF($L124&gt;=5,"Priority 2",IF($L124&gt;=3,"Watch","Low"))))</f>
        <v/>
      </c>
      <c r="N124" s="37" t="str">
        <f>IF($E124=0,"",IF(AND($F124&gt;='Opportunity Controls'!$B$15,$L124&gt;=6),"YES",""))</f>
        <v/>
      </c>
      <c r="O124" s="34">
        <f>IF($E124=0,0,$H124*$I124)</f>
        <v>0</v>
      </c>
    </row>
    <row r="125" spans="1:15">
      <c r="A125" s="22" t="str">
        <f>'Historical FY16-FY25'!A124</f>
        <v>Norton City</v>
      </c>
      <c r="B125" s="22" t="str">
        <f>'Historical FY16-FY25'!B124</f>
        <v>City</v>
      </c>
      <c r="C125" s="3" t="s">
        <v>311</v>
      </c>
      <c r="D125" s="33" t="s">
        <v>260</v>
      </c>
      <c r="E125" s="3">
        <f>IF(OR('Opportunity Controls'!$B$16="Both",AND('Opportunity Controls'!$B$16="Counties",$B125="County"),AND('Opportunity Controls'!$B$16="Cities",$B125="City")),1,0)</f>
        <v>0</v>
      </c>
      <c r="F125" s="23">
        <f>'Schools 1pct Profile'!E125</f>
        <v>2550572.4242160725</v>
      </c>
      <c r="G125" s="23">
        <f>'Schools 1pct Profile'!H125</f>
        <v>79512270.374009788</v>
      </c>
      <c r="H125" s="34">
        <f>IFERROR(($G125/MAX($G$6:$G$138))^'Opportunity Controls'!$B$14*100,0)</f>
        <v>17.456779186308875</v>
      </c>
      <c r="I125" s="35">
        <f>IFERROR(INDEX('Opportunity Controls'!$B$6:$B$9,MATCH($D125,'Opportunity Controls'!$A$6:$A$9,0)),1)</f>
        <v>0.7</v>
      </c>
      <c r="J125" s="34" t="str">
        <f>IF($E125=0,"",$H125*$I125)</f>
        <v/>
      </c>
      <c r="K125" s="36" t="str">
        <f>IF($E125=0,"",RANK($J125,$J$6:$J$138))</f>
        <v/>
      </c>
      <c r="L125" s="36" t="str">
        <f>IF($E125=0,"",8-ROUNDUP($K125/COUNT($J$6:$J$138)*7,0))</f>
        <v/>
      </c>
      <c r="M125" s="3" t="str">
        <f>IF($E125=0,"",IF($L125&gt;=6,"Priority 1",IF($L125&gt;=5,"Priority 2",IF($L125&gt;=3,"Watch","Low"))))</f>
        <v/>
      </c>
      <c r="N125" s="37" t="str">
        <f>IF($E125=0,"",IF(AND($F125&gt;='Opportunity Controls'!$B$15,$L125&gt;=6),"YES",""))</f>
        <v/>
      </c>
      <c r="O125" s="34">
        <f>IF($E125=0,0,$H125*$I125)</f>
        <v>0</v>
      </c>
    </row>
    <row r="126" spans="1:15">
      <c r="A126" s="22" t="str">
        <f>'Historical FY16-FY25'!A125</f>
        <v>Petersburg City</v>
      </c>
      <c r="B126" s="22" t="str">
        <f>'Historical FY16-FY25'!B125</f>
        <v>City</v>
      </c>
      <c r="C126" s="3" t="s">
        <v>312</v>
      </c>
      <c r="D126" s="33" t="s">
        <v>260</v>
      </c>
      <c r="E126" s="3">
        <f>IF(OR('Opportunity Controls'!$B$16="Both",AND('Opportunity Controls'!$B$16="Counties",$B126="County"),AND('Opportunity Controls'!$B$16="Cities",$B126="City")),1,0)</f>
        <v>0</v>
      </c>
      <c r="F126" s="23">
        <f>'Schools 1pct Profile'!E126</f>
        <v>6200054.9242382115</v>
      </c>
      <c r="G126" s="23">
        <f>'Schools 1pct Profile'!H126</f>
        <v>183496788.19155943</v>
      </c>
      <c r="H126" s="34">
        <f>IFERROR(($G126/MAX($G$6:$G$138))^'Opportunity Controls'!$B$14*100,0)</f>
        <v>23.987111688864022</v>
      </c>
      <c r="I126" s="35">
        <f>IFERROR(INDEX('Opportunity Controls'!$B$6:$B$9,MATCH($D126,'Opportunity Controls'!$A$6:$A$9,0)),1)</f>
        <v>0.7</v>
      </c>
      <c r="J126" s="34" t="str">
        <f>IF($E126=0,"",$H126*$I126)</f>
        <v/>
      </c>
      <c r="K126" s="36" t="str">
        <f>IF($E126=0,"",RANK($J126,$J$6:$J$138))</f>
        <v/>
      </c>
      <c r="L126" s="36" t="str">
        <f>IF($E126=0,"",8-ROUNDUP($K126/COUNT($J$6:$J$138)*7,0))</f>
        <v/>
      </c>
      <c r="M126" s="3" t="str">
        <f>IF($E126=0,"",IF($L126&gt;=6,"Priority 1",IF($L126&gt;=5,"Priority 2",IF($L126&gt;=3,"Watch","Low"))))</f>
        <v/>
      </c>
      <c r="N126" s="37" t="str">
        <f>IF($E126=0,"",IF(AND($F126&gt;='Opportunity Controls'!$B$15,$L126&gt;=6),"YES",""))</f>
        <v/>
      </c>
      <c r="O126" s="34">
        <f>IF($E126=0,0,$H126*$I126)</f>
        <v>0</v>
      </c>
    </row>
    <row r="127" spans="1:15">
      <c r="A127" s="22" t="str">
        <f>'Historical FY16-FY25'!A126</f>
        <v>Poquoson City</v>
      </c>
      <c r="B127" s="22" t="str">
        <f>'Historical FY16-FY25'!B126</f>
        <v>City</v>
      </c>
      <c r="C127" s="3" t="s">
        <v>314</v>
      </c>
      <c r="D127" s="33" t="s">
        <v>260</v>
      </c>
      <c r="E127" s="3">
        <f>IF(OR('Opportunity Controls'!$B$16="Both",AND('Opportunity Controls'!$B$16="Counties",$B127="County"),AND('Opportunity Controls'!$B$16="Cities",$B127="City")),1,0)</f>
        <v>0</v>
      </c>
      <c r="F127" s="23">
        <f>'Schools 1pct Profile'!E127</f>
        <v>1369848.615465363</v>
      </c>
      <c r="G127" s="23">
        <f>'Schools 1pct Profile'!H127</f>
        <v>42970667.681590594</v>
      </c>
      <c r="H127" s="34">
        <f>IFERROR(($G127/MAX($G$6:$G$138))^'Opportunity Controls'!$B$14*100,0)</f>
        <v>13.816706700086881</v>
      </c>
      <c r="I127" s="35">
        <f>IFERROR(INDEX('Opportunity Controls'!$B$6:$B$9,MATCH($D127,'Opportunity Controls'!$A$6:$A$9,0)),1)</f>
        <v>0.7</v>
      </c>
      <c r="J127" s="34" t="str">
        <f>IF($E127=0,"",$H127*$I127)</f>
        <v/>
      </c>
      <c r="K127" s="36" t="str">
        <f>IF($E127=0,"",RANK($J127,$J$6:$J$138))</f>
        <v/>
      </c>
      <c r="L127" s="36" t="str">
        <f>IF($E127=0,"",8-ROUNDUP($K127/COUNT($J$6:$J$138)*7,0))</f>
        <v/>
      </c>
      <c r="M127" s="3" t="str">
        <f>IF($E127=0,"",IF($L127&gt;=6,"Priority 1",IF($L127&gt;=5,"Priority 2",IF($L127&gt;=3,"Watch","Low"))))</f>
        <v/>
      </c>
      <c r="N127" s="37" t="str">
        <f>IF($E127=0,"",IF(AND($F127&gt;='Opportunity Controls'!$B$15,$L127&gt;=6),"YES",""))</f>
        <v/>
      </c>
      <c r="O127" s="34">
        <f>IF($E127=0,0,$H127*$I127)</f>
        <v>0</v>
      </c>
    </row>
    <row r="128" spans="1:15">
      <c r="A128" s="22" t="str">
        <f>'Historical FY16-FY25'!A127</f>
        <v>Portsmouth City</v>
      </c>
      <c r="B128" s="22" t="str">
        <f>'Historical FY16-FY25'!B127</f>
        <v>City</v>
      </c>
      <c r="C128" s="3" t="s">
        <v>314</v>
      </c>
      <c r="D128" s="33" t="s">
        <v>260</v>
      </c>
      <c r="E128" s="3">
        <f>IF(OR('Opportunity Controls'!$B$16="Both",AND('Opportunity Controls'!$B$16="Counties",$B128="County"),AND('Opportunity Controls'!$B$16="Cities",$B128="City")),1,0)</f>
        <v>0</v>
      </c>
      <c r="F128" s="23">
        <f>'Schools 1pct Profile'!E128</f>
        <v>13845433.375318035</v>
      </c>
      <c r="G128" s="23">
        <f>'Schools 1pct Profile'!H128</f>
        <v>418169670.96364874</v>
      </c>
      <c r="H128" s="34">
        <f>IFERROR(($G128/MAX($G$6:$G$138))^'Opportunity Controls'!$B$14*100,0)</f>
        <v>32.802965080523826</v>
      </c>
      <c r="I128" s="35">
        <f>IFERROR(INDEX('Opportunity Controls'!$B$6:$B$9,MATCH($D128,'Opportunity Controls'!$A$6:$A$9,0)),1)</f>
        <v>0.7</v>
      </c>
      <c r="J128" s="34" t="str">
        <f>IF($E128=0,"",$H128*$I128)</f>
        <v/>
      </c>
      <c r="K128" s="36" t="str">
        <f>IF($E128=0,"",RANK($J128,$J$6:$J$138))</f>
        <v/>
      </c>
      <c r="L128" s="36" t="str">
        <f>IF($E128=0,"",8-ROUNDUP($K128/COUNT($J$6:$J$138)*7,0))</f>
        <v/>
      </c>
      <c r="M128" s="3" t="str">
        <f>IF($E128=0,"",IF($L128&gt;=6,"Priority 1",IF($L128&gt;=5,"Priority 2",IF($L128&gt;=3,"Watch","Low"))))</f>
        <v/>
      </c>
      <c r="N128" s="37" t="str">
        <f>IF($E128=0,"",IF(AND($F128&gt;='Opportunity Controls'!$B$15,$L128&gt;=6),"YES",""))</f>
        <v/>
      </c>
      <c r="O128" s="34">
        <f>IF($E128=0,0,$H128*$I128)</f>
        <v>0</v>
      </c>
    </row>
    <row r="129" spans="1:15">
      <c r="A129" s="22" t="str">
        <f>'Historical FY16-FY25'!A128</f>
        <v>Radford City</v>
      </c>
      <c r="B129" s="22" t="str">
        <f>'Historical FY16-FY25'!B128</f>
        <v>City</v>
      </c>
      <c r="C129" s="3" t="s">
        <v>311</v>
      </c>
      <c r="D129" s="33" t="s">
        <v>260</v>
      </c>
      <c r="E129" s="3">
        <f>IF(OR('Opportunity Controls'!$B$16="Both",AND('Opportunity Controls'!$B$16="Counties",$B129="County"),AND('Opportunity Controls'!$B$16="Cities",$B129="City")),1,0)</f>
        <v>0</v>
      </c>
      <c r="F129" s="23">
        <f>'Schools 1pct Profile'!E129</f>
        <v>1960817.4184634006</v>
      </c>
      <c r="G129" s="23">
        <f>'Schools 1pct Profile'!H129</f>
        <v>61611002.571277767</v>
      </c>
      <c r="H129" s="34">
        <f>IFERROR(($G129/MAX($G$6:$G$138))^'Opportunity Controls'!$B$14*100,0)</f>
        <v>15.844162381182894</v>
      </c>
      <c r="I129" s="35">
        <f>IFERROR(INDEX('Opportunity Controls'!$B$6:$B$9,MATCH($D129,'Opportunity Controls'!$A$6:$A$9,0)),1)</f>
        <v>0.7</v>
      </c>
      <c r="J129" s="34" t="str">
        <f>IF($E129=0,"",$H129*$I129)</f>
        <v/>
      </c>
      <c r="K129" s="36" t="str">
        <f>IF($E129=0,"",RANK($J129,$J$6:$J$138))</f>
        <v/>
      </c>
      <c r="L129" s="36" t="str">
        <f>IF($E129=0,"",8-ROUNDUP($K129/COUNT($J$6:$J$138)*7,0))</f>
        <v/>
      </c>
      <c r="M129" s="3" t="str">
        <f>IF($E129=0,"",IF($L129&gt;=6,"Priority 1",IF($L129&gt;=5,"Priority 2",IF($L129&gt;=3,"Watch","Low"))))</f>
        <v/>
      </c>
      <c r="N129" s="37" t="str">
        <f>IF($E129=0,"",IF(AND($F129&gt;='Opportunity Controls'!$B$15,$L129&gt;=6),"YES",""))</f>
        <v/>
      </c>
      <c r="O129" s="34">
        <f>IF($E129=0,0,$H129*$I129)</f>
        <v>0</v>
      </c>
    </row>
    <row r="130" spans="1:15">
      <c r="A130" s="22" t="str">
        <f>'Historical FY16-FY25'!A129</f>
        <v>Richmond City</v>
      </c>
      <c r="B130" s="22" t="str">
        <f>'Historical FY16-FY25'!B129</f>
        <v>City</v>
      </c>
      <c r="C130" s="3" t="s">
        <v>308</v>
      </c>
      <c r="D130" s="33" t="s">
        <v>256</v>
      </c>
      <c r="E130" s="3">
        <f>IF(OR('Opportunity Controls'!$B$16="Both",AND('Opportunity Controls'!$B$16="Counties",$B130="County"),AND('Opportunity Controls'!$B$16="Cities",$B130="City")),1,0)</f>
        <v>0</v>
      </c>
      <c r="F130" s="23">
        <f>'Schools 1pct Profile'!E130</f>
        <v>58675298.632158473</v>
      </c>
      <c r="G130" s="23">
        <f>'Schools 1pct Profile'!H130</f>
        <v>1751604665.5041502</v>
      </c>
      <c r="H130" s="34">
        <f>IFERROR(($G130/MAX($G$6:$G$138))^'Opportunity Controls'!$B$14*100,0)</f>
        <v>56.533367448064219</v>
      </c>
      <c r="I130" s="35">
        <f>IFERROR(INDEX('Opportunity Controls'!$B$6:$B$9,MATCH($D130,'Opportunity Controls'!$A$6:$A$9,0)),1)</f>
        <v>1</v>
      </c>
      <c r="J130" s="34" t="str">
        <f>IF($E130=0,"",$H130*$I130)</f>
        <v/>
      </c>
      <c r="K130" s="36" t="str">
        <f>IF($E130=0,"",RANK($J130,$J$6:$J$138))</f>
        <v/>
      </c>
      <c r="L130" s="36" t="str">
        <f>IF($E130=0,"",8-ROUNDUP($K130/COUNT($J$6:$J$138)*7,0))</f>
        <v/>
      </c>
      <c r="M130" s="3" t="str">
        <f>IF($E130=0,"",IF($L130&gt;=6,"Priority 1",IF($L130&gt;=5,"Priority 2",IF($L130&gt;=3,"Watch","Low"))))</f>
        <v/>
      </c>
      <c r="N130" s="37" t="str">
        <f>IF($E130=0,"",IF(AND($F130&gt;='Opportunity Controls'!$B$15,$L130&gt;=6),"YES",""))</f>
        <v/>
      </c>
      <c r="O130" s="34">
        <f>IF($E130=0,0,$H130*$I130)</f>
        <v>0</v>
      </c>
    </row>
    <row r="131" spans="1:15">
      <c r="A131" s="22" t="str">
        <f>'Historical FY16-FY25'!A130</f>
        <v>Roanoke City</v>
      </c>
      <c r="B131" s="22" t="str">
        <f>'Historical FY16-FY25'!B130</f>
        <v>City</v>
      </c>
      <c r="C131" s="3" t="s">
        <v>311</v>
      </c>
      <c r="D131" s="33" t="s">
        <v>260</v>
      </c>
      <c r="E131" s="3">
        <f>IF(OR('Opportunity Controls'!$B$16="Both",AND('Opportunity Controls'!$B$16="Counties",$B131="County"),AND('Opportunity Controls'!$B$16="Cities",$B131="City")),1,0)</f>
        <v>0</v>
      </c>
      <c r="F131" s="23">
        <f>'Schools 1pct Profile'!E131</f>
        <v>31296024.454359155</v>
      </c>
      <c r="G131" s="23">
        <f>'Schools 1pct Profile'!H131</f>
        <v>889650546.60593224</v>
      </c>
      <c r="H131" s="34">
        <f>IFERROR(($G131/MAX($G$6:$G$138))^'Opportunity Controls'!$B$14*100,0)</f>
        <v>43.702122574623544</v>
      </c>
      <c r="I131" s="35">
        <f>IFERROR(INDEX('Opportunity Controls'!$B$6:$B$9,MATCH($D131,'Opportunity Controls'!$A$6:$A$9,0)),1)</f>
        <v>0.7</v>
      </c>
      <c r="J131" s="34" t="str">
        <f>IF($E131=0,"",$H131*$I131)</f>
        <v/>
      </c>
      <c r="K131" s="36" t="str">
        <f>IF($E131=0,"",RANK($J131,$J$6:$J$138))</f>
        <v/>
      </c>
      <c r="L131" s="36" t="str">
        <f>IF($E131=0,"",8-ROUNDUP($K131/COUNT($J$6:$J$138)*7,0))</f>
        <v/>
      </c>
      <c r="M131" s="3" t="str">
        <f>IF($E131=0,"",IF($L131&gt;=6,"Priority 1",IF($L131&gt;=5,"Priority 2",IF($L131&gt;=3,"Watch","Low"))))</f>
        <v/>
      </c>
      <c r="N131" s="37" t="str">
        <f>IF($E131=0,"",IF(AND($F131&gt;='Opportunity Controls'!$B$15,$L131&gt;=6),"YES",""))</f>
        <v/>
      </c>
      <c r="O131" s="34">
        <f>IF($E131=0,0,$H131*$I131)</f>
        <v>0</v>
      </c>
    </row>
    <row r="132" spans="1:15">
      <c r="A132" s="22" t="str">
        <f>'Historical FY16-FY25'!A131</f>
        <v>Salem City</v>
      </c>
      <c r="B132" s="22" t="str">
        <f>'Historical FY16-FY25'!B131</f>
        <v>City</v>
      </c>
      <c r="C132" s="3" t="s">
        <v>311</v>
      </c>
      <c r="D132" s="33" t="s">
        <v>260</v>
      </c>
      <c r="E132" s="3">
        <f>IF(OR('Opportunity Controls'!$B$16="Both",AND('Opportunity Controls'!$B$16="Counties",$B132="County"),AND('Opportunity Controls'!$B$16="Cities",$B132="City")),1,0)</f>
        <v>0</v>
      </c>
      <c r="F132" s="23">
        <f>'Schools 1pct Profile'!E132</f>
        <v>10637752.589647537</v>
      </c>
      <c r="G132" s="23">
        <f>'Schools 1pct Profile'!H132</f>
        <v>306851519.21982938</v>
      </c>
      <c r="H132" s="34">
        <f>IFERROR(($G132/MAX($G$6:$G$138))^'Opportunity Controls'!$B$14*100,0)</f>
        <v>29.162979018394513</v>
      </c>
      <c r="I132" s="35">
        <f>IFERROR(INDEX('Opportunity Controls'!$B$6:$B$9,MATCH($D132,'Opportunity Controls'!$A$6:$A$9,0)),1)</f>
        <v>0.7</v>
      </c>
      <c r="J132" s="34" t="str">
        <f>IF($E132=0,"",$H132*$I132)</f>
        <v/>
      </c>
      <c r="K132" s="36" t="str">
        <f>IF($E132=0,"",RANK($J132,$J$6:$J$138))</f>
        <v/>
      </c>
      <c r="L132" s="36" t="str">
        <f>IF($E132=0,"",8-ROUNDUP($K132/COUNT($J$6:$J$138)*7,0))</f>
        <v/>
      </c>
      <c r="M132" s="3" t="str">
        <f>IF($E132=0,"",IF($L132&gt;=6,"Priority 1",IF($L132&gt;=5,"Priority 2",IF($L132&gt;=3,"Watch","Low"))))</f>
        <v/>
      </c>
      <c r="N132" s="37" t="str">
        <f>IF($E132=0,"",IF(AND($F132&gt;='Opportunity Controls'!$B$15,$L132&gt;=6),"YES",""))</f>
        <v/>
      </c>
      <c r="O132" s="34">
        <f>IF($E132=0,0,$H132*$I132)</f>
        <v>0</v>
      </c>
    </row>
    <row r="133" spans="1:15">
      <c r="A133" s="22" t="str">
        <f>'Historical FY16-FY25'!A132</f>
        <v>Staunton City</v>
      </c>
      <c r="B133" s="22" t="str">
        <f>'Historical FY16-FY25'!B132</f>
        <v>City</v>
      </c>
      <c r="C133" s="3" t="s">
        <v>307</v>
      </c>
      <c r="D133" s="33" t="s">
        <v>260</v>
      </c>
      <c r="E133" s="3">
        <f>IF(OR('Opportunity Controls'!$B$16="Both",AND('Opportunity Controls'!$B$16="Counties",$B133="County"),AND('Opportunity Controls'!$B$16="Cities",$B133="City")),1,0)</f>
        <v>0</v>
      </c>
      <c r="F133" s="23">
        <f>'Schools 1pct Profile'!E133</f>
        <v>6664561.0042495923</v>
      </c>
      <c r="G133" s="23">
        <f>'Schools 1pct Profile'!H133</f>
        <v>200094831.99238139</v>
      </c>
      <c r="H133" s="34">
        <f>IFERROR(($G133/MAX($G$6:$G$138))^'Opportunity Controls'!$B$14*100,0)</f>
        <v>24.789557304887875</v>
      </c>
      <c r="I133" s="35">
        <f>IFERROR(INDEX('Opportunity Controls'!$B$6:$B$9,MATCH($D133,'Opportunity Controls'!$A$6:$A$9,0)),1)</f>
        <v>0.7</v>
      </c>
      <c r="J133" s="34" t="str">
        <f>IF($E133=0,"",$H133*$I133)</f>
        <v/>
      </c>
      <c r="K133" s="36" t="str">
        <f>IF($E133=0,"",RANK($J133,$J$6:$J$138))</f>
        <v/>
      </c>
      <c r="L133" s="36" t="str">
        <f>IF($E133=0,"",8-ROUNDUP($K133/COUNT($J$6:$J$138)*7,0))</f>
        <v/>
      </c>
      <c r="M133" s="3" t="str">
        <f>IF($E133=0,"",IF($L133&gt;=6,"Priority 1",IF($L133&gt;=5,"Priority 2",IF($L133&gt;=3,"Watch","Low"))))</f>
        <v/>
      </c>
      <c r="N133" s="37" t="str">
        <f>IF($E133=0,"",IF(AND($F133&gt;='Opportunity Controls'!$B$15,$L133&gt;=6),"YES",""))</f>
        <v/>
      </c>
      <c r="O133" s="34">
        <f>IF($E133=0,0,$H133*$I133)</f>
        <v>0</v>
      </c>
    </row>
    <row r="134" spans="1:15">
      <c r="A134" s="22" t="str">
        <f>'Historical FY16-FY25'!A133</f>
        <v>Suffolk City</v>
      </c>
      <c r="B134" s="22" t="str">
        <f>'Historical FY16-FY25'!B133</f>
        <v>City</v>
      </c>
      <c r="C134" s="3" t="s">
        <v>314</v>
      </c>
      <c r="D134" s="33" t="s">
        <v>260</v>
      </c>
      <c r="E134" s="3">
        <f>IF(OR('Opportunity Controls'!$B$16="Both",AND('Opportunity Controls'!$B$16="Counties",$B134="County"),AND('Opportunity Controls'!$B$16="Cities",$B134="City")),1,0)</f>
        <v>0</v>
      </c>
      <c r="F134" s="23">
        <f>'Schools 1pct Profile'!E134</f>
        <v>20839996.826550283</v>
      </c>
      <c r="G134" s="23">
        <f>'Schools 1pct Profile'!H134</f>
        <v>652169664.84805322</v>
      </c>
      <c r="H134" s="34">
        <f>IFERROR(($G134/MAX($G$6:$G$138))^'Opportunity Controls'!$B$14*100,0)</f>
        <v>38.837938131315461</v>
      </c>
      <c r="I134" s="35">
        <f>IFERROR(INDEX('Opportunity Controls'!$B$6:$B$9,MATCH($D134,'Opportunity Controls'!$A$6:$A$9,0)),1)</f>
        <v>0.7</v>
      </c>
      <c r="J134" s="34" t="str">
        <f>IF($E134=0,"",$H134*$I134)</f>
        <v/>
      </c>
      <c r="K134" s="36" t="str">
        <f>IF($E134=0,"",RANK($J134,$J$6:$J$138))</f>
        <v/>
      </c>
      <c r="L134" s="36" t="str">
        <f>IF($E134=0,"",8-ROUNDUP($K134/COUNT($J$6:$J$138)*7,0))</f>
        <v/>
      </c>
      <c r="M134" s="3" t="str">
        <f>IF($E134=0,"",IF($L134&gt;=6,"Priority 1",IF($L134&gt;=5,"Priority 2",IF($L134&gt;=3,"Watch","Low"))))</f>
        <v/>
      </c>
      <c r="N134" s="37" t="str">
        <f>IF($E134=0,"",IF(AND($F134&gt;='Opportunity Controls'!$B$15,$L134&gt;=6),"YES",""))</f>
        <v/>
      </c>
      <c r="O134" s="34">
        <f>IF($E134=0,0,$H134*$I134)</f>
        <v>0</v>
      </c>
    </row>
    <row r="135" spans="1:15">
      <c r="A135" s="22" t="str">
        <f>'Historical FY16-FY25'!A134</f>
        <v>Virginia Beach City</v>
      </c>
      <c r="B135" s="22" t="str">
        <f>'Historical FY16-FY25'!B134</f>
        <v>City</v>
      </c>
      <c r="C135" s="3" t="s">
        <v>314</v>
      </c>
      <c r="D135" s="33" t="s">
        <v>260</v>
      </c>
      <c r="E135" s="3">
        <f>IF(OR('Opportunity Controls'!$B$16="Both",AND('Opportunity Controls'!$B$16="Counties",$B135="County"),AND('Opportunity Controls'!$B$16="Cities",$B135="City")),1,0)</f>
        <v>0</v>
      </c>
      <c r="F135" s="23">
        <f>'Schools 1pct Profile'!E135</f>
        <v>105090206.52125755</v>
      </c>
      <c r="G135" s="23">
        <f>'Schools 1pct Profile'!H135</f>
        <v>3118349616.2896786</v>
      </c>
      <c r="H135" s="34">
        <f>IFERROR(($G135/MAX($G$6:$G$138))^'Opportunity Controls'!$B$14*100,0)</f>
        <v>70.386693742368607</v>
      </c>
      <c r="I135" s="35">
        <f>IFERROR(INDEX('Opportunity Controls'!$B$6:$B$9,MATCH($D135,'Opportunity Controls'!$A$6:$A$9,0)),1)</f>
        <v>0.7</v>
      </c>
      <c r="J135" s="34" t="str">
        <f>IF($E135=0,"",$H135*$I135)</f>
        <v/>
      </c>
      <c r="K135" s="36" t="str">
        <f>IF($E135=0,"",RANK($J135,$J$6:$J$138))</f>
        <v/>
      </c>
      <c r="L135" s="36" t="str">
        <f>IF($E135=0,"",8-ROUNDUP($K135/COUNT($J$6:$J$138)*7,0))</f>
        <v/>
      </c>
      <c r="M135" s="3" t="str">
        <f>IF($E135=0,"",IF($L135&gt;=6,"Priority 1",IF($L135&gt;=5,"Priority 2",IF($L135&gt;=3,"Watch","Low"))))</f>
        <v/>
      </c>
      <c r="N135" s="37" t="str">
        <f>IF($E135=0,"",IF(AND($F135&gt;='Opportunity Controls'!$B$15,$L135&gt;=6),"YES",""))</f>
        <v/>
      </c>
      <c r="O135" s="34">
        <f>IF($E135=0,0,$H135*$I135)</f>
        <v>0</v>
      </c>
    </row>
    <row r="136" spans="1:15">
      <c r="A136" s="22" t="str">
        <f>'Historical FY16-FY25'!A135</f>
        <v>Waynesboro City</v>
      </c>
      <c r="B136" s="22" t="str">
        <f>'Historical FY16-FY25'!B135</f>
        <v>City</v>
      </c>
      <c r="C136" s="3" t="s">
        <v>307</v>
      </c>
      <c r="D136" s="33" t="s">
        <v>260</v>
      </c>
      <c r="E136" s="3">
        <f>IF(OR('Opportunity Controls'!$B$16="Both",AND('Opportunity Controls'!$B$16="Counties",$B136="County"),AND('Opportunity Controls'!$B$16="Cities",$B136="City")),1,0)</f>
        <v>0</v>
      </c>
      <c r="F136" s="23">
        <f>'Schools 1pct Profile'!E136</f>
        <v>8162676.0546338009</v>
      </c>
      <c r="G136" s="23">
        <f>'Schools 1pct Profile'!H136</f>
        <v>235759369.59980944</v>
      </c>
      <c r="H136" s="34">
        <f>IFERROR(($G136/MAX($G$6:$G$138))^'Opportunity Controls'!$B$14*100,0)</f>
        <v>26.383799941642227</v>
      </c>
      <c r="I136" s="35">
        <f>IFERROR(INDEX('Opportunity Controls'!$B$6:$B$9,MATCH($D136,'Opportunity Controls'!$A$6:$A$9,0)),1)</f>
        <v>0.7</v>
      </c>
      <c r="J136" s="34" t="str">
        <f>IF($E136=0,"",$H136*$I136)</f>
        <v/>
      </c>
      <c r="K136" s="36" t="str">
        <f>IF($E136=0,"",RANK($J136,$J$6:$J$138))</f>
        <v/>
      </c>
      <c r="L136" s="36" t="str">
        <f>IF($E136=0,"",8-ROUNDUP($K136/COUNT($J$6:$J$138)*7,0))</f>
        <v/>
      </c>
      <c r="M136" s="3" t="str">
        <f>IF($E136=0,"",IF($L136&gt;=6,"Priority 1",IF($L136&gt;=5,"Priority 2",IF($L136&gt;=3,"Watch","Low"))))</f>
        <v/>
      </c>
      <c r="N136" s="37" t="str">
        <f>IF($E136=0,"",IF(AND($F136&gt;='Opportunity Controls'!$B$15,$L136&gt;=6),"YES",""))</f>
        <v/>
      </c>
      <c r="O136" s="34">
        <f>IF($E136=0,0,$H136*$I136)</f>
        <v>0</v>
      </c>
    </row>
    <row r="137" spans="1:15">
      <c r="A137" s="22" t="str">
        <f>'Historical FY16-FY25'!A136</f>
        <v>Williamsburg City</v>
      </c>
      <c r="B137" s="22" t="str">
        <f>'Historical FY16-FY25'!B136</f>
        <v>City</v>
      </c>
      <c r="C137" s="3" t="s">
        <v>314</v>
      </c>
      <c r="D137" s="33" t="s">
        <v>260</v>
      </c>
      <c r="E137" s="3">
        <f>IF(OR('Opportunity Controls'!$B$16="Both",AND('Opportunity Controls'!$B$16="Counties",$B137="County"),AND('Opportunity Controls'!$B$16="Cities",$B137="City")),1,0)</f>
        <v>0</v>
      </c>
      <c r="F137" s="23">
        <f>'Schools 1pct Profile'!E137</f>
        <v>6498301.6714519756</v>
      </c>
      <c r="G137" s="23">
        <f>'Schools 1pct Profile'!H137</f>
        <v>185419812.72184086</v>
      </c>
      <c r="H137" s="34">
        <f>IFERROR(($G137/MAX($G$6:$G$138))^'Opportunity Controls'!$B$14*100,0)</f>
        <v>24.082328284621678</v>
      </c>
      <c r="I137" s="35">
        <f>IFERROR(INDEX('Opportunity Controls'!$B$6:$B$9,MATCH($D137,'Opportunity Controls'!$A$6:$A$9,0)),1)</f>
        <v>0.7</v>
      </c>
      <c r="J137" s="34" t="str">
        <f>IF($E137=0,"",$H137*$I137)</f>
        <v/>
      </c>
      <c r="K137" s="36" t="str">
        <f>IF($E137=0,"",RANK($J137,$J$6:$J$138))</f>
        <v/>
      </c>
      <c r="L137" s="36" t="str">
        <f>IF($E137=0,"",8-ROUNDUP($K137/COUNT($J$6:$J$138)*7,0))</f>
        <v/>
      </c>
      <c r="M137" s="3" t="str">
        <f>IF($E137=0,"",IF($L137&gt;=6,"Priority 1",IF($L137&gt;=5,"Priority 2",IF($L137&gt;=3,"Watch","Low"))))</f>
        <v/>
      </c>
      <c r="N137" s="37" t="str">
        <f>IF($E137=0,"",IF(AND($F137&gt;='Opportunity Controls'!$B$15,$L137&gt;=6),"YES",""))</f>
        <v/>
      </c>
      <c r="O137" s="34">
        <f>IF($E137=0,0,$H137*$I137)</f>
        <v>0</v>
      </c>
    </row>
    <row r="138" spans="1:15">
      <c r="A138" s="22" t="str">
        <f>'Historical FY16-FY25'!A137</f>
        <v>Winchester City</v>
      </c>
      <c r="B138" s="22" t="str">
        <f>'Historical FY16-FY25'!B137</f>
        <v>City</v>
      </c>
      <c r="C138" s="3" t="s">
        <v>307</v>
      </c>
      <c r="D138" s="33" t="s">
        <v>260</v>
      </c>
      <c r="E138" s="3">
        <f>IF(OR('Opportunity Controls'!$B$16="Both",AND('Opportunity Controls'!$B$16="Counties",$B138="County"),AND('Opportunity Controls'!$B$16="Cities",$B138="City")),1,0)</f>
        <v>0</v>
      </c>
      <c r="F138" s="23">
        <f>'Schools 1pct Profile'!E138</f>
        <v>14552983.059561074</v>
      </c>
      <c r="G138" s="23">
        <f>'Schools 1pct Profile'!H138</f>
        <v>427511522.95472676</v>
      </c>
      <c r="H138" s="34">
        <f>IFERROR(($G138/MAX($G$6:$G$138))^'Opportunity Controls'!$B$14*100,0)</f>
        <v>33.079528700146781</v>
      </c>
      <c r="I138" s="35">
        <f>IFERROR(INDEX('Opportunity Controls'!$B$6:$B$9,MATCH($D138,'Opportunity Controls'!$A$6:$A$9,0)),1)</f>
        <v>0.7</v>
      </c>
      <c r="J138" s="34" t="str">
        <f>IF($E138=0,"",$H138*$I138)</f>
        <v/>
      </c>
      <c r="K138" s="36" t="str">
        <f>IF($E138=0,"",RANK($J138,$J$6:$J$138))</f>
        <v/>
      </c>
      <c r="L138" s="36" t="str">
        <f>IF($E138=0,"",8-ROUNDUP($K138/COUNT($J$6:$J$138)*7,0))</f>
        <v/>
      </c>
      <c r="M138" s="3" t="str">
        <f>IF($E138=0,"",IF($L138&gt;=6,"Priority 1",IF($L138&gt;=5,"Priority 2",IF($L138&gt;=3,"Watch","Low"))))</f>
        <v/>
      </c>
      <c r="N138" s="37" t="str">
        <f>IF($E138=0,"",IF(AND($F138&gt;='Opportunity Controls'!$B$15,$L138&gt;=6),"YES",""))</f>
        <v/>
      </c>
      <c r="O138" s="34">
        <f>IF($E138=0,0,$H138*$I138)</f>
        <v>0</v>
      </c>
    </row>
    <row r="140" spans="1:15">
      <c r="A140" s="4" t="s">
        <v>315</v>
      </c>
    </row>
    <row r="141" spans="1:15">
      <c r="A141" s="4" t="s">
        <v>316</v>
      </c>
    </row>
  </sheetData>
  <autoFilter ref="A5:O138" xr:uid="{00000000-0009-0000-0000-000006000000}"/>
  <conditionalFormatting sqref="J6:J138">
    <cfRule type="colorScale" priority="2">
      <colorScale>
        <cfvo type="min"/>
        <cfvo type="percentile" val="50"/>
        <cfvo type="max"/>
        <color rgb="FF0B6E4F"/>
        <color rgb="FFD6C321"/>
        <color rgb="FFC42B21"/>
      </colorScale>
    </cfRule>
  </conditionalFormatting>
  <conditionalFormatting sqref="L6:L138">
    <cfRule type="colorScale" priority="3">
      <colorScale>
        <cfvo type="num" val="1"/>
        <cfvo type="num" val="4"/>
        <cfvo type="num" val="7"/>
        <color rgb="FF0B6E4F"/>
        <color rgb="FFD6C321"/>
        <color rgb="FFC42B21"/>
      </colorScale>
    </cfRule>
  </conditionalFormatting>
  <conditionalFormatting sqref="G6:G138">
    <cfRule type="dataBar" priority="4">
      <dataBar>
        <cfvo type="num" val="0"/>
        <cfvo type="max"/>
        <color rgb="FF1F3864"/>
      </dataBar>
      <extLst>
        <ext xmlns:x14="http://schemas.microsoft.com/office/spreadsheetml/2009/9/main" uri="{B025F937-C7B1-47D3-B67F-A62EFF666E3E}">
          <x14:id>{E482145B-9EF0-4189-9545-267CB424D47A}</x14:id>
        </ext>
      </extLst>
    </cfRule>
  </conditionalFormatting>
  <conditionalFormatting sqref="A6:O138">
    <cfRule type="expression" dxfId="7" priority="5">
      <formula>$D6="Levying since 2020-23"</formula>
    </cfRule>
    <cfRule type="expression" dxfId="6" priority="6">
      <formula>$E6=0</formula>
    </cfRule>
  </conditionalFormatting>
  <conditionalFormatting sqref="M6:M138">
    <cfRule type="expression" dxfId="5" priority="7">
      <formula>$M6="Priority 1"</formula>
    </cfRule>
  </conditionalFormatting>
  <dataValidations count="1">
    <dataValidation type="list" errorTitle="Pick a status" error="Choose one of the four statuses from the list." sqref="D6:D138" xr:uid="{00000000-0002-0000-0600-000000000000}">
      <formula1>"On Nov 2026 ballot,Deferred,eyeing 2027,No public action found,Levying since 2020-23"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82145B-9EF0-4189-9545-267CB424D47A}">
            <x14:dataBar axisPosition="none">
              <x14:cfvo type="num">
                <xm:f>0</xm:f>
              </x14:cfvo>
              <x14:cfvo type="max"/>
              <x14:negativeFillColor rgb="FF1F3864"/>
            </x14:dataBar>
          </x14:cfRule>
          <xm:sqref>G6:G138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"/>
  <sheetViews>
    <sheetView showGridLines="0" zoomScaleNormal="100" workbookViewId="0"/>
  </sheetViews>
  <sheetFormatPr defaultColWidth="8.7109375" defaultRowHeight="15"/>
  <cols>
    <col min="1" max="1" width="32" customWidth="1"/>
    <col min="2" max="10" width="15" customWidth="1"/>
  </cols>
  <sheetData>
    <row r="1" spans="1:10" ht="17.45">
      <c r="A1" s="1" t="s">
        <v>317</v>
      </c>
    </row>
    <row r="2" spans="1:10">
      <c r="A2" s="4" t="s">
        <v>318</v>
      </c>
    </row>
    <row r="4" spans="1:10" ht="42" customHeight="1">
      <c r="A4" s="5" t="s">
        <v>292</v>
      </c>
      <c r="B4" s="5" t="s">
        <v>294</v>
      </c>
      <c r="C4" s="5" t="s">
        <v>256</v>
      </c>
      <c r="D4" s="5" t="s">
        <v>258</v>
      </c>
      <c r="E4" s="5" t="s">
        <v>260</v>
      </c>
      <c r="F4" s="5" t="s">
        <v>262</v>
      </c>
      <c r="G4" s="5" t="s">
        <v>319</v>
      </c>
      <c r="H4" s="5" t="s">
        <v>320</v>
      </c>
      <c r="I4" s="5" t="s">
        <v>321</v>
      </c>
      <c r="J4" s="5" t="s">
        <v>322</v>
      </c>
    </row>
    <row r="5" spans="1:10">
      <c r="A5" s="38" t="s">
        <v>310</v>
      </c>
      <c r="B5" s="38">
        <f>COUNTIFS('Opportunity Model'!$C$6:$C$138,$A5,'Opportunity Model'!$E$6:$E$138,1)</f>
        <v>12</v>
      </c>
      <c r="C5" s="38">
        <f>COUNTIFS('Opportunity Model'!$C$6:$C$138,$A5,'Opportunity Model'!$E$6:$E$138,1,'Opportunity Model'!$D$6:$D$138,"On Nov 2026 ballot")</f>
        <v>0</v>
      </c>
      <c r="D5" s="38">
        <f>COUNTIFS('Opportunity Model'!$C$6:$C$138,$A5,'Opportunity Model'!$E$6:$E$138,1,'Opportunity Model'!$D$6:$D$138,"Deferred, eyeing 2027")</f>
        <v>2</v>
      </c>
      <c r="E5" s="38">
        <f>COUNTIFS('Opportunity Model'!$C$6:$C$138,$A5,'Opportunity Model'!$E$6:$E$138,1,'Opportunity Model'!$D$6:$D$138,"No public action found")</f>
        <v>10</v>
      </c>
      <c r="F5" s="38">
        <f>COUNTIFS('Opportunity Model'!$C$6:$C$138,$A5,'Opportunity Model'!$E$6:$E$138,1,'Opportunity Model'!$D$6:$D$138,"Levying since 2020-23")</f>
        <v>0</v>
      </c>
      <c r="G5" s="9">
        <f>SUMIFS('Opportunity Model'!$G$6:$G$138,'Opportunity Model'!$C$6:$C$138,$A5,'Opportunity Model'!$E$6:$E$138,1)</f>
        <v>20487770581.652248</v>
      </c>
      <c r="H5" s="9">
        <f>SUMIFS('Opportunity Model'!$F$6:$F$138,'Opportunity Model'!$C$6:$C$138,$A5,'Opportunity Model'!$E$6:$E$138,1)</f>
        <v>687771182.5365355</v>
      </c>
      <c r="I5" s="39">
        <f>IFERROR(AVERAGEIFS('Opportunity Model'!$O$6:$O$138,'Opportunity Model'!$C$6:$C$138,$A5,'Opportunity Model'!$E$6:$E$138,1),0)</f>
        <v>33.043209055259602</v>
      </c>
      <c r="J5" s="39">
        <f>IFERROR(SUMPRODUCT(MAX(('Opportunity Model'!$C$6:$C$138=$A5)*('Opportunity Model'!$E$6:$E$138=1)*'Opportunity Model'!$O$6:$O$138)),0)</f>
        <v>70</v>
      </c>
    </row>
    <row r="6" spans="1:10">
      <c r="A6" s="38" t="s">
        <v>308</v>
      </c>
      <c r="B6" s="38">
        <f>COUNTIFS('Opportunity Model'!$C$6:$C$138,$A6,'Opportunity Model'!$E$6:$E$138,1)</f>
        <v>10</v>
      </c>
      <c r="C6" s="38">
        <f>COUNTIFS('Opportunity Model'!$C$6:$C$138,$A6,'Opportunity Model'!$E$6:$E$138,1,'Opportunity Model'!$D$6:$D$138,"On Nov 2026 ballot")</f>
        <v>3</v>
      </c>
      <c r="D6" s="38">
        <f>COUNTIFS('Opportunity Model'!$C$6:$C$138,$A6,'Opportunity Model'!$E$6:$E$138,1,'Opportunity Model'!$D$6:$D$138,"Deferred, eyeing 2027")</f>
        <v>0</v>
      </c>
      <c r="E6" s="38">
        <f>COUNTIFS('Opportunity Model'!$C$6:$C$138,$A6,'Opportunity Model'!$E$6:$E$138,1,'Opportunity Model'!$D$6:$D$138,"No public action found")</f>
        <v>7</v>
      </c>
      <c r="F6" s="38">
        <f>COUNTIFS('Opportunity Model'!$C$6:$C$138,$A6,'Opportunity Model'!$E$6:$E$138,1,'Opportunity Model'!$D$6:$D$138,"Levying since 2020-23")</f>
        <v>0</v>
      </c>
      <c r="G6" s="9">
        <f>SUMIFS('Opportunity Model'!$G$6:$G$138,'Opportunity Model'!$C$6:$C$138,$A6,'Opportunity Model'!$E$6:$E$138,1)</f>
        <v>8030898199.1063538</v>
      </c>
      <c r="H6" s="9">
        <f>SUMIFS('Opportunity Model'!$F$6:$F$138,'Opportunity Model'!$C$6:$C$138,$A6,'Opportunity Model'!$E$6:$E$138,1)</f>
        <v>259648116.26573843</v>
      </c>
      <c r="I6" s="39">
        <f>IFERROR(AVERAGEIFS('Opportunity Model'!$O$6:$O$138,'Opportunity Model'!$C$6:$C$138,$A6,'Opportunity Model'!$E$6:$E$138,1),0)</f>
        <v>26.168484606114191</v>
      </c>
      <c r="J6" s="39">
        <f>IFERROR(SUMPRODUCT(MAX(('Opportunity Model'!$C$6:$C$138=$A6)*('Opportunity Model'!$E$6:$E$138=1)*'Opportunity Model'!$O$6:$O$138)),0)</f>
        <v>67.387215272159978</v>
      </c>
    </row>
    <row r="7" spans="1:10">
      <c r="A7" s="38" t="s">
        <v>314</v>
      </c>
      <c r="B7" s="38">
        <f>COUNTIFS('Opportunity Model'!$C$6:$C$138,$A7,'Opportunity Model'!$E$6:$E$138,1)</f>
        <v>5</v>
      </c>
      <c r="C7" s="38">
        <f>COUNTIFS('Opportunity Model'!$C$6:$C$138,$A7,'Opportunity Model'!$E$6:$E$138,1,'Opportunity Model'!$D$6:$D$138,"On Nov 2026 ballot")</f>
        <v>1</v>
      </c>
      <c r="D7" s="38">
        <f>COUNTIFS('Opportunity Model'!$C$6:$C$138,$A7,'Opportunity Model'!$E$6:$E$138,1,'Opportunity Model'!$D$6:$D$138,"Deferred, eyeing 2027")</f>
        <v>0</v>
      </c>
      <c r="E7" s="38">
        <f>COUNTIFS('Opportunity Model'!$C$6:$C$138,$A7,'Opportunity Model'!$E$6:$E$138,1,'Opportunity Model'!$D$6:$D$138,"No public action found")</f>
        <v>3</v>
      </c>
      <c r="F7" s="38">
        <f>COUNTIFS('Opportunity Model'!$C$6:$C$138,$A7,'Opportunity Model'!$E$6:$E$138,1,'Opportunity Model'!$D$6:$D$138,"Levying since 2020-23")</f>
        <v>1</v>
      </c>
      <c r="G7" s="9">
        <f>SUMIFS('Opportunity Model'!$G$6:$G$138,'Opportunity Model'!$C$6:$C$138,$A7,'Opportunity Model'!$E$6:$E$138,1)</f>
        <v>1495073959.9690986</v>
      </c>
      <c r="H7" s="9">
        <f>SUMIFS('Opportunity Model'!$F$6:$F$138,'Opportunity Model'!$C$6:$C$138,$A7,'Opportunity Model'!$E$6:$E$138,1)</f>
        <v>49442751.746241182</v>
      </c>
      <c r="I7" s="39">
        <f>IFERROR(AVERAGEIFS('Opportunity Model'!$O$6:$O$138,'Opportunity Model'!$C$6:$C$138,$A7,'Opportunity Model'!$E$6:$E$138,1),0)</f>
        <v>19.189496829880973</v>
      </c>
      <c r="J7" s="39">
        <f>IFERROR(SUMPRODUCT(MAX(('Opportunity Model'!$C$6:$C$138=$A7)*('Opportunity Model'!$E$6:$E$138=1)*'Opportunity Model'!$O$6:$O$138)),0)</f>
        <v>34.294705041250864</v>
      </c>
    </row>
    <row r="8" spans="1:10">
      <c r="A8" s="38" t="s">
        <v>306</v>
      </c>
      <c r="B8" s="38">
        <f>COUNTIFS('Opportunity Model'!$C$6:$C$138,$A8,'Opportunity Model'!$E$6:$E$138,1)</f>
        <v>7</v>
      </c>
      <c r="C8" s="38">
        <f>COUNTIFS('Opportunity Model'!$C$6:$C$138,$A8,'Opportunity Model'!$E$6:$E$138,1,'Opportunity Model'!$D$6:$D$138,"On Nov 2026 ballot")</f>
        <v>2</v>
      </c>
      <c r="D8" s="38">
        <f>COUNTIFS('Opportunity Model'!$C$6:$C$138,$A8,'Opportunity Model'!$E$6:$E$138,1,'Opportunity Model'!$D$6:$D$138,"Deferred, eyeing 2027")</f>
        <v>0</v>
      </c>
      <c r="E8" s="38">
        <f>COUNTIFS('Opportunity Model'!$C$6:$C$138,$A8,'Opportunity Model'!$E$6:$E$138,1,'Opportunity Model'!$D$6:$D$138,"No public action found")</f>
        <v>5</v>
      </c>
      <c r="F8" s="38">
        <f>COUNTIFS('Opportunity Model'!$C$6:$C$138,$A8,'Opportunity Model'!$E$6:$E$138,1,'Opportunity Model'!$D$6:$D$138,"Levying since 2020-23")</f>
        <v>0</v>
      </c>
      <c r="G8" s="9">
        <f>SUMIFS('Opportunity Model'!$G$6:$G$138,'Opportunity Model'!$C$6:$C$138,$A8,'Opportunity Model'!$E$6:$E$138,1)</f>
        <v>1747433742.6985326</v>
      </c>
      <c r="H8" s="9">
        <f>SUMIFS('Opportunity Model'!$F$6:$F$138,'Opportunity Model'!$C$6:$C$138,$A8,'Opportunity Model'!$E$6:$E$138,1)</f>
        <v>55268960.918596059</v>
      </c>
      <c r="I8" s="39">
        <f>IFERROR(AVERAGEIFS('Opportunity Model'!$O$6:$O$138,'Opportunity Model'!$C$6:$C$138,$A8,'Opportunity Model'!$E$6:$E$138,1),0)</f>
        <v>18.716323820921044</v>
      </c>
      <c r="J8" s="39">
        <f>IFERROR(SUMPRODUCT(MAX(('Opportunity Model'!$C$6:$C$138=$A8)*('Opportunity Model'!$E$6:$E$138=1)*'Opportunity Model'!$O$6:$O$138)),0)</f>
        <v>30.767340622659159</v>
      </c>
    </row>
    <row r="9" spans="1:10">
      <c r="A9" s="38" t="s">
        <v>307</v>
      </c>
      <c r="B9" s="38">
        <f>COUNTIFS('Opportunity Model'!$C$6:$C$138,$A9,'Opportunity Model'!$E$6:$E$138,1)</f>
        <v>10</v>
      </c>
      <c r="C9" s="38">
        <f>COUNTIFS('Opportunity Model'!$C$6:$C$138,$A9,'Opportunity Model'!$E$6:$E$138,1,'Opportunity Model'!$D$6:$D$138,"On Nov 2026 ballot")</f>
        <v>0</v>
      </c>
      <c r="D9" s="38">
        <f>COUNTIFS('Opportunity Model'!$C$6:$C$138,$A9,'Opportunity Model'!$E$6:$E$138,1,'Opportunity Model'!$D$6:$D$138,"Deferred, eyeing 2027")</f>
        <v>0</v>
      </c>
      <c r="E9" s="38">
        <f>COUNTIFS('Opportunity Model'!$C$6:$C$138,$A9,'Opportunity Model'!$E$6:$E$138,1,'Opportunity Model'!$D$6:$D$138,"No public action found")</f>
        <v>10</v>
      </c>
      <c r="F9" s="38">
        <f>COUNTIFS('Opportunity Model'!$C$6:$C$138,$A9,'Opportunity Model'!$E$6:$E$138,1,'Opportunity Model'!$D$6:$D$138,"Levying since 2020-23")</f>
        <v>0</v>
      </c>
      <c r="G9" s="9">
        <f>SUMIFS('Opportunity Model'!$G$6:$G$138,'Opportunity Model'!$C$6:$C$138,$A9,'Opportunity Model'!$E$6:$E$138,1)</f>
        <v>2459016126.4289064</v>
      </c>
      <c r="H9" s="9">
        <f>SUMIFS('Opportunity Model'!$F$6:$F$138,'Opportunity Model'!$C$6:$C$138,$A9,'Opportunity Model'!$E$6:$E$138,1)</f>
        <v>78052112.868490309</v>
      </c>
      <c r="I9" s="39">
        <f>IFERROR(AVERAGEIFS('Opportunity Model'!$O$6:$O$138,'Opportunity Model'!$C$6:$C$138,$A9,'Opportunity Model'!$E$6:$E$138,1),0)</f>
        <v>16.424366996094371</v>
      </c>
      <c r="J9" s="39">
        <f>IFERROR(SUMPRODUCT(MAX(('Opportunity Model'!$C$6:$C$138=$A9)*('Opportunity Model'!$E$6:$E$138=1)*'Opportunity Model'!$O$6:$O$138)),0)</f>
        <v>29.857338673286293</v>
      </c>
    </row>
    <row r="10" spans="1:10">
      <c r="A10" s="38" t="s">
        <v>311</v>
      </c>
      <c r="B10" s="38">
        <f>COUNTIFS('Opportunity Model'!$C$6:$C$138,$A10,'Opportunity Model'!$E$6:$E$138,1)</f>
        <v>19</v>
      </c>
      <c r="C10" s="38">
        <f>COUNTIFS('Opportunity Model'!$C$6:$C$138,$A10,'Opportunity Model'!$E$6:$E$138,1,'Opportunity Model'!$D$6:$D$138,"On Nov 2026 ballot")</f>
        <v>1</v>
      </c>
      <c r="D10" s="38">
        <f>COUNTIFS('Opportunity Model'!$C$6:$C$138,$A10,'Opportunity Model'!$E$6:$E$138,1,'Opportunity Model'!$D$6:$D$138,"Deferred, eyeing 2027")</f>
        <v>4</v>
      </c>
      <c r="E10" s="38">
        <f>COUNTIFS('Opportunity Model'!$C$6:$C$138,$A10,'Opportunity Model'!$E$6:$E$138,1,'Opportunity Model'!$D$6:$D$138,"No public action found")</f>
        <v>14</v>
      </c>
      <c r="F10" s="38">
        <f>COUNTIFS('Opportunity Model'!$C$6:$C$138,$A10,'Opportunity Model'!$E$6:$E$138,1,'Opportunity Model'!$D$6:$D$138,"Levying since 2020-23")</f>
        <v>0</v>
      </c>
      <c r="G10" s="9">
        <f>SUMIFS('Opportunity Model'!$G$6:$G$138,'Opportunity Model'!$C$6:$C$138,$A10,'Opportunity Model'!$E$6:$E$138,1)</f>
        <v>3028215152.954814</v>
      </c>
      <c r="H10" s="9">
        <f>SUMIFS('Opportunity Model'!$F$6:$F$138,'Opportunity Model'!$C$6:$C$138,$A10,'Opportunity Model'!$E$6:$E$138,1)</f>
        <v>105246044.79292259</v>
      </c>
      <c r="I10" s="39">
        <f>IFERROR(AVERAGEIFS('Opportunity Model'!$O$6:$O$138,'Opportunity Model'!$C$6:$C$138,$A10,'Opportunity Model'!$E$6:$E$138,1),0)</f>
        <v>14.94768225107337</v>
      </c>
      <c r="J10" s="39">
        <f>IFERROR(SUMPRODUCT(MAX(('Opportunity Model'!$C$6:$C$138=$A10)*('Opportunity Model'!$E$6:$E$138=1)*'Opportunity Model'!$O$6:$O$138)),0)</f>
        <v>26.348396469123781</v>
      </c>
    </row>
    <row r="11" spans="1:10">
      <c r="A11" s="38" t="s">
        <v>309</v>
      </c>
      <c r="B11" s="38">
        <f>COUNTIFS('Opportunity Model'!$C$6:$C$138,$A11,'Opportunity Model'!$E$6:$E$138,1)</f>
        <v>14</v>
      </c>
      <c r="C11" s="38">
        <f>COUNTIFS('Opportunity Model'!$C$6:$C$138,$A11,'Opportunity Model'!$E$6:$E$138,1,'Opportunity Model'!$D$6:$D$138,"On Nov 2026 ballot")</f>
        <v>2</v>
      </c>
      <c r="D11" s="38">
        <f>COUNTIFS('Opportunity Model'!$C$6:$C$138,$A11,'Opportunity Model'!$E$6:$E$138,1,'Opportunity Model'!$D$6:$D$138,"Deferred, eyeing 2027")</f>
        <v>1</v>
      </c>
      <c r="E11" s="38">
        <f>COUNTIFS('Opportunity Model'!$C$6:$C$138,$A11,'Opportunity Model'!$E$6:$E$138,1,'Opportunity Model'!$D$6:$D$138,"No public action found")</f>
        <v>6</v>
      </c>
      <c r="F11" s="38">
        <f>COUNTIFS('Opportunity Model'!$C$6:$C$138,$A11,'Opportunity Model'!$E$6:$E$138,1,'Opportunity Model'!$D$6:$D$138,"Levying since 2020-23")</f>
        <v>5</v>
      </c>
      <c r="G11" s="9">
        <f>SUMIFS('Opportunity Model'!$G$6:$G$138,'Opportunity Model'!$C$6:$C$138,$A11,'Opportunity Model'!$E$6:$E$138,1)</f>
        <v>2362914817.8973255</v>
      </c>
      <c r="H11" s="9">
        <f>SUMIFS('Opportunity Model'!$F$6:$F$138,'Opportunity Model'!$C$6:$C$138,$A11,'Opportunity Model'!$E$6:$E$138,1)</f>
        <v>79615007.539714664</v>
      </c>
      <c r="I11" s="39">
        <f>IFERROR(AVERAGEIFS('Opportunity Model'!$O$6:$O$138,'Opportunity Model'!$C$6:$C$138,$A11,'Opportunity Model'!$E$6:$E$138,1),0)</f>
        <v>13.95680795106119</v>
      </c>
      <c r="J11" s="39">
        <f>IFERROR(SUMPRODUCT(MAX(('Opportunity Model'!$C$6:$C$138=$A11)*('Opportunity Model'!$E$6:$E$138=1)*'Opportunity Model'!$O$6:$O$138)),0)</f>
        <v>27.261099863962169</v>
      </c>
    </row>
    <row r="12" spans="1:10">
      <c r="A12" s="38" t="s">
        <v>312</v>
      </c>
      <c r="B12" s="38">
        <f>COUNTIFS('Opportunity Model'!$C$6:$C$138,$A12,'Opportunity Model'!$E$6:$E$138,1)</f>
        <v>7</v>
      </c>
      <c r="C12" s="38">
        <f>COUNTIFS('Opportunity Model'!$C$6:$C$138,$A12,'Opportunity Model'!$E$6:$E$138,1,'Opportunity Model'!$D$6:$D$138,"On Nov 2026 ballot")</f>
        <v>1</v>
      </c>
      <c r="D12" s="38">
        <f>COUNTIFS('Opportunity Model'!$C$6:$C$138,$A12,'Opportunity Model'!$E$6:$E$138,1,'Opportunity Model'!$D$6:$D$138,"Deferred, eyeing 2027")</f>
        <v>0</v>
      </c>
      <c r="E12" s="38">
        <f>COUNTIFS('Opportunity Model'!$C$6:$C$138,$A12,'Opportunity Model'!$E$6:$E$138,1,'Opportunity Model'!$D$6:$D$138,"No public action found")</f>
        <v>6</v>
      </c>
      <c r="F12" s="38">
        <f>COUNTIFS('Opportunity Model'!$C$6:$C$138,$A12,'Opportunity Model'!$E$6:$E$138,1,'Opportunity Model'!$D$6:$D$138,"Levying since 2020-23")</f>
        <v>0</v>
      </c>
      <c r="G12" s="9">
        <f>SUMIFS('Opportunity Model'!$G$6:$G$138,'Opportunity Model'!$C$6:$C$138,$A12,'Opportunity Model'!$E$6:$E$138,1)</f>
        <v>563152922.22900522</v>
      </c>
      <c r="H12" s="9">
        <f>SUMIFS('Opportunity Model'!$F$6:$F$138,'Opportunity Model'!$C$6:$C$138,$A12,'Opportunity Model'!$E$6:$E$138,1)</f>
        <v>18067449.70443565</v>
      </c>
      <c r="I12" s="39">
        <f>IFERROR(AVERAGEIFS('Opportunity Model'!$O$6:$O$138,'Opportunity Model'!$C$6:$C$138,$A12,'Opportunity Model'!$E$6:$E$138,1),0)</f>
        <v>12.445868209138325</v>
      </c>
      <c r="J12" s="39">
        <f>IFERROR(SUMPRODUCT(MAX(('Opportunity Model'!$C$6:$C$138=$A12)*('Opportunity Model'!$E$6:$E$138=1)*'Opportunity Model'!$O$6:$O$138)),0)</f>
        <v>15.712240662815155</v>
      </c>
    </row>
    <row r="13" spans="1:10">
      <c r="A13" s="38" t="s">
        <v>313</v>
      </c>
      <c r="B13" s="38">
        <f>COUNTIFS('Opportunity Model'!$C$6:$C$138,$A13,'Opportunity Model'!$E$6:$E$138,1)</f>
        <v>9</v>
      </c>
      <c r="C13" s="38">
        <f>COUNTIFS('Opportunity Model'!$C$6:$C$138,$A13,'Opportunity Model'!$E$6:$E$138,1,'Opportunity Model'!$D$6:$D$138,"On Nov 2026 ballot")</f>
        <v>3</v>
      </c>
      <c r="D13" s="38">
        <f>COUNTIFS('Opportunity Model'!$C$6:$C$138,$A13,'Opportunity Model'!$E$6:$E$138,1,'Opportunity Model'!$D$6:$D$138,"Deferred, eyeing 2027")</f>
        <v>0</v>
      </c>
      <c r="E13" s="38">
        <f>COUNTIFS('Opportunity Model'!$C$6:$C$138,$A13,'Opportunity Model'!$E$6:$E$138,1,'Opportunity Model'!$D$6:$D$138,"No public action found")</f>
        <v>6</v>
      </c>
      <c r="F13" s="38">
        <f>COUNTIFS('Opportunity Model'!$C$6:$C$138,$A13,'Opportunity Model'!$E$6:$E$138,1,'Opportunity Model'!$D$6:$D$138,"Levying since 2020-23")</f>
        <v>0</v>
      </c>
      <c r="G13" s="9">
        <f>SUMIFS('Opportunity Model'!$G$6:$G$138,'Opportunity Model'!$C$6:$C$138,$A13,'Opportunity Model'!$E$6:$E$138,1)</f>
        <v>545319680.86604702</v>
      </c>
      <c r="H13" s="9">
        <f>SUMIFS('Opportunity Model'!$F$6:$F$138,'Opportunity Model'!$C$6:$C$138,$A13,'Opportunity Model'!$E$6:$E$138,1)</f>
        <v>18184980.798750948</v>
      </c>
      <c r="I13" s="39">
        <f>IFERROR(AVERAGEIFS('Opportunity Model'!$O$6:$O$138,'Opportunity Model'!$C$6:$C$138,$A13,'Opportunity Model'!$E$6:$E$138,1),0)</f>
        <v>12.10186782602938</v>
      </c>
      <c r="J13" s="39">
        <f>IFERROR(SUMPRODUCT(MAX(('Opportunity Model'!$C$6:$C$138=$A13)*('Opportunity Model'!$E$6:$E$138=1)*'Opportunity Model'!$O$6:$O$138)),0)</f>
        <v>18.350621329423468</v>
      </c>
    </row>
    <row r="14" spans="1:10">
      <c r="A14" s="38" t="s">
        <v>305</v>
      </c>
      <c r="B14" s="38">
        <f>COUNTIFS('Opportunity Model'!$C$6:$C$138,$A14,'Opportunity Model'!$E$6:$E$138,1)</f>
        <v>2</v>
      </c>
      <c r="C14" s="38">
        <f>COUNTIFS('Opportunity Model'!$C$6:$C$138,$A14,'Opportunity Model'!$E$6:$E$138,1,'Opportunity Model'!$D$6:$D$138,"On Nov 2026 ballot")</f>
        <v>0</v>
      </c>
      <c r="D14" s="38">
        <f>COUNTIFS('Opportunity Model'!$C$6:$C$138,$A14,'Opportunity Model'!$E$6:$E$138,1,'Opportunity Model'!$D$6:$D$138,"Deferred, eyeing 2027")</f>
        <v>0</v>
      </c>
      <c r="E14" s="38">
        <f>COUNTIFS('Opportunity Model'!$C$6:$C$138,$A14,'Opportunity Model'!$E$6:$E$138,1,'Opportunity Model'!$D$6:$D$138,"No public action found")</f>
        <v>1</v>
      </c>
      <c r="F14" s="38">
        <f>COUNTIFS('Opportunity Model'!$C$6:$C$138,$A14,'Opportunity Model'!$E$6:$E$138,1,'Opportunity Model'!$D$6:$D$138,"Levying since 2020-23")</f>
        <v>1</v>
      </c>
      <c r="G14" s="9">
        <f>SUMIFS('Opportunity Model'!$G$6:$G$138,'Opportunity Model'!$C$6:$C$138,$A14,'Opportunity Model'!$E$6:$E$138,1)</f>
        <v>277234155.24628353</v>
      </c>
      <c r="H14" s="9">
        <f>SUMIFS('Opportunity Model'!$F$6:$F$138,'Opportunity Model'!$C$6:$C$138,$A14,'Opportunity Model'!$E$6:$E$138,1)</f>
        <v>9571604.7304516695</v>
      </c>
      <c r="I14" s="39">
        <f>IFERROR(AVERAGEIFS('Opportunity Model'!$O$6:$O$138,'Opportunity Model'!$C$6:$C$138,$A14,'Opportunity Model'!$E$6:$E$138,1),0)</f>
        <v>11.689021114525957</v>
      </c>
      <c r="J14" s="39">
        <f>IFERROR(SUMPRODUCT(MAX(('Opportunity Model'!$C$6:$C$138=$A14)*('Opportunity Model'!$E$6:$E$138=1)*'Opportunity Model'!$O$6:$O$138)),0)</f>
        <v>17.226801268149721</v>
      </c>
    </row>
    <row r="15" spans="1:10">
      <c r="A15" s="20" t="s">
        <v>323</v>
      </c>
      <c r="B15" s="40">
        <f>SUM(B5:B14)</f>
        <v>95</v>
      </c>
      <c r="C15" s="40">
        <f>SUM(C5:C14)</f>
        <v>13</v>
      </c>
      <c r="D15" s="40">
        <f>SUM(D5:D14)</f>
        <v>7</v>
      </c>
      <c r="E15" s="40">
        <f>SUM(E5:E14)</f>
        <v>68</v>
      </c>
      <c r="F15" s="40">
        <f>SUM(F5:F14)</f>
        <v>7</v>
      </c>
      <c r="G15" s="21">
        <f>SUM(G5:G14)</f>
        <v>40997029339.048615</v>
      </c>
      <c r="H15" s="21">
        <f>SUM(H5:H14)</f>
        <v>1360868211.9018767</v>
      </c>
    </row>
    <row r="17" spans="1:1">
      <c r="A17" s="4" t="s">
        <v>324</v>
      </c>
    </row>
  </sheetData>
  <conditionalFormatting sqref="G5:G14">
    <cfRule type="colorScale" priority="2">
      <colorScale>
        <cfvo type="min"/>
        <cfvo type="max"/>
        <color rgb="FFF2F7F2"/>
        <color rgb="FF0B6E4F"/>
      </colorScale>
    </cfRule>
  </conditionalFormatting>
  <conditionalFormatting sqref="H5:H14">
    <cfRule type="colorScale" priority="3">
      <colorScale>
        <cfvo type="min"/>
        <cfvo type="max"/>
        <color rgb="FFF2F7F2"/>
        <color rgb="FF0B6E4F"/>
      </colorScale>
    </cfRule>
  </conditionalFormatting>
  <conditionalFormatting sqref="I5:I14">
    <cfRule type="colorScale" priority="4">
      <colorScale>
        <cfvo type="min"/>
        <cfvo type="percentile" val="50"/>
        <cfvo type="max"/>
        <color rgb="FF0B6E4F"/>
        <color rgb="FFD6C321"/>
        <color rgb="FFC42B21"/>
      </colorScale>
    </cfRule>
  </conditionalFormatting>
  <conditionalFormatting sqref="J5:J14">
    <cfRule type="colorScale" priority="5">
      <colorScale>
        <cfvo type="min"/>
        <cfvo type="percentile" val="50"/>
        <cfvo type="max"/>
        <color rgb="FF0B6E4F"/>
        <color rgb="FFD6C321"/>
        <color rgb="FFC42B21"/>
      </colorScale>
    </cfRule>
  </conditionalFormatting>
  <conditionalFormatting sqref="C5:C14">
    <cfRule type="colorScale" priority="6">
      <colorScale>
        <cfvo type="min"/>
        <cfvo type="max"/>
        <color rgb="FFFFFFFF"/>
        <color rgb="FFE89A1C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0"/>
  <sheetViews>
    <sheetView showGridLines="0" zoomScaleNormal="100" workbookViewId="0"/>
  </sheetViews>
  <sheetFormatPr defaultColWidth="8.7109375" defaultRowHeight="15"/>
  <cols>
    <col min="1" max="1" width="22" customWidth="1"/>
    <col min="2" max="16" width="13" customWidth="1"/>
  </cols>
  <sheetData>
    <row r="1" spans="1:16" ht="17.45">
      <c r="A1" s="1" t="s">
        <v>325</v>
      </c>
    </row>
    <row r="2" spans="1:16">
      <c r="A2" s="4" t="s">
        <v>326</v>
      </c>
    </row>
    <row r="3" spans="1:16">
      <c r="A3" s="4" t="s">
        <v>327</v>
      </c>
    </row>
    <row r="5" spans="1:16" ht="60" customHeight="1">
      <c r="A5" s="5" t="s">
        <v>328</v>
      </c>
      <c r="B5" s="5" t="s">
        <v>329</v>
      </c>
      <c r="C5" s="5" t="s">
        <v>330</v>
      </c>
      <c r="D5" s="5" t="s">
        <v>331</v>
      </c>
      <c r="E5" s="5" t="s">
        <v>332</v>
      </c>
      <c r="F5" s="5" t="s">
        <v>333</v>
      </c>
      <c r="G5" s="5" t="s">
        <v>334</v>
      </c>
      <c r="H5" s="5" t="s">
        <v>335</v>
      </c>
      <c r="I5" s="5" t="s">
        <v>336</v>
      </c>
      <c r="J5" s="5" t="s">
        <v>337</v>
      </c>
      <c r="K5" s="5" t="s">
        <v>338</v>
      </c>
      <c r="L5" s="5" t="s">
        <v>339</v>
      </c>
      <c r="M5" s="5" t="s">
        <v>340</v>
      </c>
      <c r="N5" s="5" t="s">
        <v>341</v>
      </c>
      <c r="O5" s="5" t="s">
        <v>342</v>
      </c>
      <c r="P5" s="5" t="s">
        <v>343</v>
      </c>
    </row>
    <row r="6" spans="1:16">
      <c r="A6" s="38" t="s">
        <v>344</v>
      </c>
      <c r="B6" s="41">
        <v>5.8400000000000001E-2</v>
      </c>
      <c r="C6" s="42">
        <v>50</v>
      </c>
      <c r="D6" s="41">
        <v>0.14549999999999999</v>
      </c>
      <c r="E6" s="41">
        <v>0.61450000000000005</v>
      </c>
      <c r="F6" s="42">
        <v>17</v>
      </c>
      <c r="G6" s="7">
        <v>593967376</v>
      </c>
      <c r="H6" s="42">
        <v>36</v>
      </c>
      <c r="I6" s="7">
        <v>399192673</v>
      </c>
      <c r="J6" s="42">
        <v>34</v>
      </c>
      <c r="K6" s="7">
        <v>52386507</v>
      </c>
      <c r="L6" s="42">
        <v>38</v>
      </c>
      <c r="M6" s="7">
        <v>29923810</v>
      </c>
      <c r="N6" s="39">
        <f>($B6-MIN($B$6:$B$13))/(MAX($B$6:$B$13)-MIN($B$6:$B$13))*100</f>
        <v>75.154101469890961</v>
      </c>
      <c r="O6" s="39">
        <f>($C6-MIN($C$6:$C$13))/(MAX($C$6:$C$13)-MIN($C$6:$C$13))*50+(MAX($D$6:$D$13)-$D6)/(MAX($D$6:$D$13)-MIN($D$6:$D$13))*50</f>
        <v>54.249873837502705</v>
      </c>
      <c r="P6" s="43">
        <f>$N6-$O6</f>
        <v>20.904227632388256</v>
      </c>
    </row>
    <row r="7" spans="1:16">
      <c r="A7" s="38" t="s">
        <v>345</v>
      </c>
      <c r="B7" s="41">
        <v>1.43E-2</v>
      </c>
      <c r="C7" s="42">
        <v>50</v>
      </c>
      <c r="D7" s="41">
        <v>0.10970000000000001</v>
      </c>
      <c r="E7" s="41">
        <v>0.90310000000000001</v>
      </c>
      <c r="F7" s="42">
        <v>16</v>
      </c>
      <c r="G7" s="7">
        <v>498484245</v>
      </c>
      <c r="H7" s="42">
        <v>99</v>
      </c>
      <c r="I7" s="7">
        <v>513973329</v>
      </c>
      <c r="J7" s="42">
        <v>91</v>
      </c>
      <c r="K7" s="7">
        <v>296016508</v>
      </c>
      <c r="L7" s="42">
        <v>64</v>
      </c>
      <c r="M7" s="7">
        <v>157071809</v>
      </c>
      <c r="N7" s="39">
        <f>($B7-MIN($B$6:$B$13))/(MAX($B$6:$B$13)-MIN($B$6:$B$13))*100</f>
        <v>54.243717401612145</v>
      </c>
      <c r="O7" s="39">
        <f>($C7-MIN($C$6:$C$13))/(MAX($C$6:$C$13)-MIN($C$6:$C$13))*50+(MAX($D$6:$D$13)-$D7)/(MAX($D$6:$D$13)-MIN($D$6:$D$13))*50</f>
        <v>62.637877586331186</v>
      </c>
      <c r="P7" s="43">
        <f>$N7-$O7</f>
        <v>-8.3941601847190412</v>
      </c>
    </row>
    <row r="8" spans="1:16">
      <c r="A8" s="38" t="s">
        <v>346</v>
      </c>
      <c r="B8" s="41">
        <v>0.1108</v>
      </c>
      <c r="C8" s="42">
        <v>32</v>
      </c>
      <c r="D8" s="41">
        <v>0.17069999999999999</v>
      </c>
      <c r="E8" s="41">
        <v>0.69920000000000004</v>
      </c>
      <c r="F8" s="42">
        <v>5</v>
      </c>
      <c r="G8" s="7">
        <v>253122699</v>
      </c>
      <c r="H8" s="42">
        <v>52</v>
      </c>
      <c r="I8" s="7">
        <v>111081406</v>
      </c>
      <c r="J8" s="42">
        <v>44</v>
      </c>
      <c r="K8" s="7">
        <v>19452900</v>
      </c>
      <c r="L8" s="42">
        <v>24</v>
      </c>
      <c r="M8" s="7">
        <v>64342254</v>
      </c>
      <c r="N8" s="39">
        <f>($B8-MIN($B$6:$B$13))/(MAX($B$6:$B$13)-MIN($B$6:$B$13))*100</f>
        <v>100</v>
      </c>
      <c r="O8" s="39">
        <f>($C8-MIN($C$6:$C$13))/(MAX($C$6:$C$13)-MIN($C$6:$C$13))*50+(MAX($D$6:$D$13)-$D8)/(MAX($D$6:$D$13)-MIN($D$6:$D$13))*50</f>
        <v>13.730084348641054</v>
      </c>
      <c r="P8" s="43">
        <f>$N8-$O8</f>
        <v>86.269915651358943</v>
      </c>
    </row>
    <row r="9" spans="1:16">
      <c r="A9" s="38" t="s">
        <v>347</v>
      </c>
      <c r="B9" s="41">
        <v>7.9399999999999998E-2</v>
      </c>
      <c r="C9" s="42">
        <v>48</v>
      </c>
      <c r="D9" s="41">
        <v>0.2293</v>
      </c>
      <c r="E9" s="41">
        <v>0.69489999999999996</v>
      </c>
      <c r="F9" s="42">
        <v>31</v>
      </c>
      <c r="G9" s="7">
        <v>2151449772</v>
      </c>
      <c r="H9" s="42">
        <v>170</v>
      </c>
      <c r="I9" s="7">
        <v>1808662674</v>
      </c>
      <c r="J9" s="42">
        <v>113</v>
      </c>
      <c r="K9" s="7">
        <v>52255045</v>
      </c>
      <c r="L9" s="42">
        <v>63</v>
      </c>
      <c r="M9" s="7">
        <v>139999837</v>
      </c>
      <c r="N9" s="39">
        <f>($B9-MIN($B$6:$B$13))/(MAX($B$6:$B$13)-MIN($B$6:$B$13))*100</f>
        <v>85.111427216690387</v>
      </c>
      <c r="O9" s="39">
        <f>($C9-MIN($C$6:$C$13))/(MAX($C$6:$C$13)-MIN($C$6:$C$13))*50+(MAX($D$6:$D$13)-$D9)/(MAX($D$6:$D$13)-MIN($D$6:$D$13))*50</f>
        <v>30.76923076923077</v>
      </c>
      <c r="P9" s="43">
        <f>$N9-$O9</f>
        <v>54.342196447459614</v>
      </c>
    </row>
    <row r="10" spans="1:16">
      <c r="A10" s="38" t="s">
        <v>348</v>
      </c>
      <c r="B10" s="41">
        <v>3.0099999999999998E-2</v>
      </c>
      <c r="C10" s="42">
        <v>55</v>
      </c>
      <c r="D10" s="41">
        <v>0.19900000000000001</v>
      </c>
      <c r="E10" s="41">
        <v>0.96599999999999997</v>
      </c>
      <c r="F10" s="42">
        <v>3</v>
      </c>
      <c r="G10" s="7">
        <v>85000000</v>
      </c>
      <c r="H10" s="42">
        <v>61</v>
      </c>
      <c r="I10" s="7">
        <v>196616603</v>
      </c>
      <c r="J10" s="42">
        <v>49</v>
      </c>
      <c r="K10" s="7">
        <v>75511912</v>
      </c>
      <c r="L10" s="42">
        <v>51</v>
      </c>
      <c r="M10" s="7">
        <v>25539379</v>
      </c>
      <c r="N10" s="39">
        <f>($B10-MIN($B$6:$B$13))/(MAX($B$6:$B$13)-MIN($B$6:$B$13))*100</f>
        <v>61.735419630156471</v>
      </c>
      <c r="O10" s="39">
        <f>($C10-MIN($C$6:$C$13))/(MAX($C$6:$C$13)-MIN($C$6:$C$13))*50+(MAX($D$6:$D$13)-$D10)/(MAX($D$6:$D$13)-MIN($D$6:$D$13))*50</f>
        <v>51.330113185783283</v>
      </c>
      <c r="P10" s="43">
        <f>$N10-$O10</f>
        <v>10.405306444373188</v>
      </c>
    </row>
    <row r="11" spans="1:16">
      <c r="A11" s="38" t="s">
        <v>349</v>
      </c>
      <c r="B11" s="41">
        <v>-6.7799999999999999E-2</v>
      </c>
      <c r="C11" s="42">
        <v>58</v>
      </c>
      <c r="D11" s="41">
        <v>9.8500000000000004E-2</v>
      </c>
      <c r="E11" s="41">
        <v>0.85219999999999996</v>
      </c>
      <c r="F11" s="42">
        <v>0</v>
      </c>
      <c r="G11" s="7">
        <v>0</v>
      </c>
      <c r="H11" s="42">
        <v>59</v>
      </c>
      <c r="I11" s="7">
        <v>182347652</v>
      </c>
      <c r="J11" s="42">
        <v>39</v>
      </c>
      <c r="K11" s="7">
        <v>33071010</v>
      </c>
      <c r="L11" s="42">
        <v>31</v>
      </c>
      <c r="M11" s="7">
        <v>26994674</v>
      </c>
      <c r="N11" s="39">
        <f>($B11-MIN($B$6:$B$13))/(MAX($B$6:$B$13)-MIN($B$6:$B$13))*100</f>
        <v>15.315315315315313</v>
      </c>
      <c r="O11" s="39">
        <f>($C11-MIN($C$6:$C$13))/(MAX($C$6:$C$13)-MIN($C$6:$C$13))*50+(MAX($D$6:$D$13)-$D11)/(MAX($D$6:$D$13)-MIN($D$6:$D$13))*50</f>
        <v>80.646672914714145</v>
      </c>
      <c r="P11" s="43">
        <f>$N11-$O11</f>
        <v>-65.331357599398828</v>
      </c>
    </row>
    <row r="12" spans="1:16">
      <c r="A12" s="38" t="s">
        <v>350</v>
      </c>
      <c r="B12" s="41">
        <v>-0.10009999999999999</v>
      </c>
      <c r="C12" s="42">
        <v>58</v>
      </c>
      <c r="D12" s="41">
        <v>4.5499999999999999E-2</v>
      </c>
      <c r="E12" s="41">
        <v>0.78979999999999995</v>
      </c>
      <c r="F12" s="42">
        <v>2</v>
      </c>
      <c r="G12" s="7">
        <v>37391934</v>
      </c>
      <c r="H12" s="42">
        <v>59</v>
      </c>
      <c r="I12" s="7">
        <v>61781135</v>
      </c>
      <c r="J12" s="42">
        <v>72</v>
      </c>
      <c r="K12" s="7">
        <v>78838541</v>
      </c>
      <c r="L12" s="42">
        <v>55</v>
      </c>
      <c r="M12" s="7">
        <v>20678848</v>
      </c>
      <c r="N12" s="39">
        <f>($B12-MIN($B$6:$B$13))/(MAX($B$6:$B$13)-MIN($B$6:$B$13))*100</f>
        <v>0</v>
      </c>
      <c r="O12" s="39">
        <f>($C12-MIN($C$6:$C$13))/(MAX($C$6:$C$13)-MIN($C$6:$C$13))*50+(MAX($D$6:$D$13)-$D12)/(MAX($D$6:$D$13)-MIN($D$6:$D$13))*50</f>
        <v>93.064667291471423</v>
      </c>
      <c r="P12" s="43">
        <f>$N12-$O12</f>
        <v>-93.064667291471423</v>
      </c>
    </row>
    <row r="13" spans="1:16">
      <c r="A13" s="38" t="s">
        <v>351</v>
      </c>
      <c r="B13" s="41">
        <v>-7.3999999999999996E-2</v>
      </c>
      <c r="C13" s="42">
        <v>58</v>
      </c>
      <c r="D13" s="41">
        <v>1.5900000000000001E-2</v>
      </c>
      <c r="E13" s="41">
        <v>0.873</v>
      </c>
      <c r="F13" s="42">
        <v>7</v>
      </c>
      <c r="G13" s="7">
        <v>214660000</v>
      </c>
      <c r="H13" s="42">
        <v>30</v>
      </c>
      <c r="I13" s="7">
        <v>44549663</v>
      </c>
      <c r="J13" s="42">
        <v>21</v>
      </c>
      <c r="K13" s="7">
        <v>16467002</v>
      </c>
      <c r="L13" s="42">
        <v>18</v>
      </c>
      <c r="M13" s="7">
        <v>3394046</v>
      </c>
      <c r="N13" s="39">
        <f>($B13-MIN($B$6:$B$13))/(MAX($B$6:$B$13)-MIN($B$6:$B$13))*100</f>
        <v>12.375533428165006</v>
      </c>
      <c r="O13" s="39">
        <f>($C13-MIN($C$6:$C$13))/(MAX($C$6:$C$13)-MIN($C$6:$C$13))*50+(MAX($D$6:$D$13)-$D13)/(MAX($D$6:$D$13)-MIN($D$6:$D$13))*50</f>
        <v>100</v>
      </c>
      <c r="P13" s="43">
        <f>$N13-$O13</f>
        <v>-87.624466571835001</v>
      </c>
    </row>
    <row r="15" spans="1:16">
      <c r="A15" s="2" t="s">
        <v>352</v>
      </c>
    </row>
    <row r="16" spans="1:16">
      <c r="A16" s="4" t="s">
        <v>353</v>
      </c>
    </row>
    <row r="17" spans="1:1">
      <c r="A17" s="4" t="s">
        <v>354</v>
      </c>
    </row>
    <row r="18" spans="1:1">
      <c r="A18" s="4" t="s">
        <v>355</v>
      </c>
    </row>
    <row r="19" spans="1:1">
      <c r="A19" s="4" t="s">
        <v>356</v>
      </c>
    </row>
    <row r="20" spans="1:1">
      <c r="A20" s="4" t="s">
        <v>357</v>
      </c>
    </row>
  </sheetData>
  <conditionalFormatting sqref="P6:P13">
    <cfRule type="colorScale" priority="2">
      <colorScale>
        <cfvo type="num" val="-100"/>
        <cfvo type="num" val="0"/>
        <cfvo type="num" val="100"/>
        <color rgb="FFC42B21"/>
        <color rgb="FFF2EFE6"/>
        <color rgb="FF1F6F4A"/>
      </colorScale>
    </cfRule>
  </conditionalFormatting>
  <conditionalFormatting sqref="C6:C13">
    <cfRule type="colorScale" priority="3">
      <colorScale>
        <cfvo type="min"/>
        <cfvo type="max"/>
        <color rgb="FFFFFFFF"/>
        <color rgb="FFDB6516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53"/>
  <sheetViews>
    <sheetView showGridLines="0" zoomScaleNormal="100" workbookViewId="0">
      <pane xSplit="2" ySplit="5" topLeftCell="C6" activePane="bottomRight" state="frozen"/>
      <selection pane="bottomRight"/>
      <selection pane="bottomLeft" activeCell="A6" sqref="A6"/>
      <selection pane="topRight" activeCell="C1" sqref="C1"/>
    </sheetView>
  </sheetViews>
  <sheetFormatPr defaultColWidth="8.7109375" defaultRowHeight="15"/>
  <cols>
    <col min="1" max="1" width="24" customWidth="1"/>
    <col min="2" max="2" width="9" customWidth="1"/>
    <col min="3" max="3" width="20" customWidth="1"/>
    <col min="4" max="4" width="22" customWidth="1"/>
    <col min="5" max="5" width="9" customWidth="1"/>
    <col min="6" max="6" width="17" customWidth="1"/>
    <col min="7" max="7" width="16" customWidth="1"/>
    <col min="8" max="8" width="14" customWidth="1"/>
    <col min="9" max="9" width="13" customWidth="1"/>
    <col min="10" max="10" width="11" customWidth="1"/>
    <col min="11" max="11" width="15" customWidth="1"/>
    <col min="12" max="12" width="30" customWidth="1"/>
    <col min="13" max="13" width="36" customWidth="1"/>
    <col min="14" max="14" width="12" customWidth="1"/>
    <col min="15" max="15" width="11" customWidth="1"/>
    <col min="16" max="16" width="12" customWidth="1"/>
    <col min="17" max="17" width="13" customWidth="1"/>
    <col min="18" max="18" width="24" customWidth="1"/>
    <col min="19" max="19" width="40" customWidth="1"/>
    <col min="20" max="20" width="16" customWidth="1"/>
    <col min="21" max="21" width="30" customWidth="1"/>
  </cols>
  <sheetData>
    <row r="1" spans="1:21" ht="17.45">
      <c r="A1" s="1" t="s">
        <v>358</v>
      </c>
    </row>
    <row r="2" spans="1:21">
      <c r="A2" s="4" t="s">
        <v>359</v>
      </c>
    </row>
    <row r="3" spans="1:21">
      <c r="A3" s="44" t="s">
        <v>360</v>
      </c>
    </row>
    <row r="5" spans="1:21" ht="48" customHeight="1">
      <c r="A5" s="5" t="s">
        <v>83</v>
      </c>
      <c r="B5" s="5" t="s">
        <v>84</v>
      </c>
      <c r="C5" s="5" t="s">
        <v>328</v>
      </c>
      <c r="D5" s="5" t="s">
        <v>361</v>
      </c>
      <c r="E5" s="5" t="s">
        <v>294</v>
      </c>
      <c r="F5" s="5" t="s">
        <v>362</v>
      </c>
      <c r="G5" s="5" t="s">
        <v>295</v>
      </c>
      <c r="H5" s="5" t="s">
        <v>363</v>
      </c>
      <c r="I5" s="5" t="s">
        <v>364</v>
      </c>
      <c r="J5" s="5" t="s">
        <v>365</v>
      </c>
      <c r="K5" s="5" t="s">
        <v>366</v>
      </c>
      <c r="L5" s="5" t="s">
        <v>367</v>
      </c>
      <c r="M5" s="5" t="s">
        <v>368</v>
      </c>
      <c r="N5" s="5" t="s">
        <v>369</v>
      </c>
      <c r="O5" s="5" t="s">
        <v>370</v>
      </c>
      <c r="P5" s="5" t="s">
        <v>371</v>
      </c>
      <c r="Q5" s="5" t="s">
        <v>372</v>
      </c>
      <c r="R5" s="5" t="s">
        <v>373</v>
      </c>
      <c r="S5" s="5" t="s">
        <v>374</v>
      </c>
      <c r="T5" s="5" t="s">
        <v>375</v>
      </c>
      <c r="U5" s="5" t="s">
        <v>376</v>
      </c>
    </row>
    <row r="6" spans="1:21">
      <c r="A6" s="22" t="str">
        <f>'Opportunity Model'!A6</f>
        <v>Accomack County</v>
      </c>
      <c r="B6" s="22" t="str">
        <f>'Opportunity Model'!B6</f>
        <v>County</v>
      </c>
      <c r="C6" s="3" t="s">
        <v>345</v>
      </c>
      <c r="D6" s="22" t="str">
        <f>'Opportunity Model'!D6</f>
        <v>No public action found</v>
      </c>
      <c r="E6" s="22">
        <f>'Opportunity Model'!E6</f>
        <v>1</v>
      </c>
      <c r="F6" s="23">
        <f>'Opportunity Model'!G6</f>
        <v>196297323.66051728</v>
      </c>
      <c r="G6" s="23">
        <f>'Opportunity Model'!F6</f>
        <v>6888381.4066833332</v>
      </c>
      <c r="H6" s="45">
        <f>'Region Needs Profile'!B7</f>
        <v>1.43E-2</v>
      </c>
      <c r="I6" s="46">
        <f>'Region Needs Profile'!C7</f>
        <v>50</v>
      </c>
      <c r="J6" s="47">
        <f>'Region Needs Profile'!P7</f>
        <v>-8.3941601847190412</v>
      </c>
      <c r="K6" s="3" t="str">
        <f>IF($F6&gt;=PERCENTILE($F$6:$F$138,0.75),"High",IF($F6&gt;=PERCENTILE($F$6:$F$138,0.4),"Moderate","Low"))</f>
        <v>Moderate</v>
      </c>
      <c r="L6" s="3" t="str">
        <f>IF($J6&gt;=40,"New build / PPEA",IF($J6&lt;=-40,IF($K6="Low","Retrofit + state stack","Retrofit / ESPC"),IF($K6="High","Blended programme","Selective retrofit")))</f>
        <v>Selective retrofit</v>
      </c>
      <c r="M6" s="3" t="str">
        <f>IF($L6="New build / PPEA","Levy-backed debt + PPEA availability payment + SCAP 10%",IF($L6="Retrofit + state stack","SCAP 20-30% + Literary Fund + levy + guaranteed savings",IF($L6="Retrofit / ESPC","Levy + guaranteed savings + VPSA pooled bond",IF($L6="Blended programme","Levy-backed debt + ESPC on the retained estate","SCAP + Literary Fund + guaranteed savings"))))</f>
        <v>SCAP + Literary Fund + guaranteed savings</v>
      </c>
      <c r="N6" s="35">
        <f>IF(OR($L6="Retrofit / ESPC",$L6="Retrofit + state stack"),$B$142,IF($L6="New build / PPEA",$B$144,$B$143))</f>
        <v>0.7</v>
      </c>
      <c r="O6" s="35">
        <f>IF($D6="On Nov 2026 ballot",$B$145,IF($D6="Levying since 2020-23",$B$147,IF($D6="Deferred, eyeing 2027",$B$148,$B$146)))</f>
        <v>0.8</v>
      </c>
      <c r="P6" s="34">
        <f>IF($E6=0,"",($F6/MAX($F$6:$F$138))^0.38*100*$N6*$O6)</f>
        <v>13.781441014519778</v>
      </c>
      <c r="Q6" s="48" t="str">
        <f>IF($E6=0,"","P"&amp;MIN(4,ROUNDUP(RANK($P6,$P$6:$P$138)/COUNT($P$6:$P$138)*4,0)))</f>
        <v>P2</v>
      </c>
      <c r="R6" s="3" t="str">
        <f>IF($D6="On Nov 2026 ballot","Wave 1 - position before the vote",IF($D6="Deferred, eyeing 2027","Wave 3 - 2027 referendum cycle",IF($D6="Levying since 2020-23","Wave 2 - next phase / displace incumbent","Wave 1 - VERIFY referendum status first")))</f>
        <v>Wave 1 - VERIFY referendum status first</v>
      </c>
      <c r="S6" s="3" t="str">
        <f>IF($L6="Retrofit + state stack","SCAP application support + no-cost condition assessment",IF($L6="Retrofit / ESPC","No-cost facility condition assessment",IF($L6="New build / PPEA","PPEA concept + capital sequencing review",IF($L6="Blended programme","Capital programme structuring review","Targeted HVAC and roof scope review"))))</f>
        <v>Targeted HVAC and roof scope review</v>
      </c>
      <c r="T6" s="49"/>
      <c r="U6" s="49"/>
    </row>
    <row r="7" spans="1:21">
      <c r="A7" s="50" t="str">
        <f>'Opportunity Model'!A7</f>
        <v>Albemarle County</v>
      </c>
      <c r="B7" s="50" t="str">
        <f>'Opportunity Model'!B7</f>
        <v>County</v>
      </c>
      <c r="C7" s="51" t="s">
        <v>348</v>
      </c>
      <c r="D7" s="50" t="str">
        <f>'Opportunity Model'!D7</f>
        <v>No public action found</v>
      </c>
      <c r="E7" s="50">
        <f>'Opportunity Model'!E7</f>
        <v>1</v>
      </c>
      <c r="F7" s="52">
        <f>'Opportunity Model'!G7</f>
        <v>903172016.32576525</v>
      </c>
      <c r="G7" s="52">
        <f>'Opportunity Model'!F7</f>
        <v>28874529.441360746</v>
      </c>
      <c r="H7" s="53">
        <f>'Region Needs Profile'!B10</f>
        <v>3.0099999999999998E-2</v>
      </c>
      <c r="I7" s="54">
        <f>'Region Needs Profile'!C10</f>
        <v>55</v>
      </c>
      <c r="J7" s="55">
        <f>'Region Needs Profile'!P10</f>
        <v>10.405306444373188</v>
      </c>
      <c r="K7" s="51" t="str">
        <f>IF($F7&gt;=PERCENTILE($F$6:$F$138,0.75),"High",IF($F7&gt;=PERCENTILE($F$6:$F$138,0.4),"Moderate","Low"))</f>
        <v>High</v>
      </c>
      <c r="L7" s="51" t="str">
        <f>IF($J7&gt;=40,"New build / PPEA",IF($J7&lt;=-40,IF($K7="Low","Retrofit + state stack","Retrofit / ESPC"),IF($K7="High","Blended programme","Selective retrofit")))</f>
        <v>Blended programme</v>
      </c>
      <c r="M7" s="51" t="str">
        <f>IF($L7="New build / PPEA","Levy-backed debt + PPEA availability payment + SCAP 10%",IF($L7="Retrofit + state stack","SCAP 20-30% + Literary Fund + levy + guaranteed savings",IF($L7="Retrofit / ESPC","Levy + guaranteed savings + VPSA pooled bond",IF($L7="Blended programme","Levy-backed debt + ESPC on the retained estate","SCAP + Literary Fund + guaranteed savings"))))</f>
        <v>Levy-backed debt + ESPC on the retained estate</v>
      </c>
      <c r="N7" s="35">
        <f>IF(OR($L7="Retrofit / ESPC",$L7="Retrofit + state stack"),$B$142,IF($L7="New build / PPEA",$B$144,$B$143))</f>
        <v>0.7</v>
      </c>
      <c r="O7" s="35">
        <f>IF($D7="On Nov 2026 ballot",$B$145,IF($D7="Levying since 2020-23",$B$147,IF($D7="Deferred, eyeing 2027",$B$148,$B$146)))</f>
        <v>0.8</v>
      </c>
      <c r="P7" s="34">
        <f>IF($E7=0,"",($F7/MAX($F$6:$F$138))^0.38*100*$N7*$O7)</f>
        <v>24.613872498127328</v>
      </c>
      <c r="Q7" s="48" t="str">
        <f>IF($E7=0,"","P"&amp;MIN(4,ROUNDUP(RANK($P7,$P$6:$P$138)/COUNT($P$6:$P$138)*4,0)))</f>
        <v>P1</v>
      </c>
      <c r="R7" s="3" t="str">
        <f>IF($D7="On Nov 2026 ballot","Wave 1 - position before the vote",IF($D7="Deferred, eyeing 2027","Wave 3 - 2027 referendum cycle",IF($D7="Levying since 2020-23","Wave 2 - next phase / displace incumbent","Wave 1 - VERIFY referendum status first")))</f>
        <v>Wave 1 - VERIFY referendum status first</v>
      </c>
      <c r="S7" s="3" t="str">
        <f>IF($L7="Retrofit + state stack","SCAP application support + no-cost condition assessment",IF($L7="Retrofit / ESPC","No-cost facility condition assessment",IF($L7="New build / PPEA","PPEA concept + capital sequencing review",IF($L7="Blended programme","Capital programme structuring review","Targeted HVAC and roof scope review"))))</f>
        <v>Capital programme structuring review</v>
      </c>
      <c r="T7" s="49"/>
      <c r="U7" s="49"/>
    </row>
    <row r="8" spans="1:21">
      <c r="A8" s="22" t="str">
        <f>'Opportunity Model'!A8</f>
        <v>Alleghany County</v>
      </c>
      <c r="B8" s="22" t="str">
        <f>'Opportunity Model'!B8</f>
        <v>County</v>
      </c>
      <c r="C8" s="3" t="s">
        <v>349</v>
      </c>
      <c r="D8" s="22" t="str">
        <f>'Opportunity Model'!D8</f>
        <v>No public action found</v>
      </c>
      <c r="E8" s="22">
        <f>'Opportunity Model'!E8</f>
        <v>1</v>
      </c>
      <c r="F8" s="23">
        <f>'Opportunity Model'!G8</f>
        <v>35851157.532620773</v>
      </c>
      <c r="G8" s="23">
        <f>'Opportunity Model'!F8</f>
        <v>1368536.0529732672</v>
      </c>
      <c r="H8" s="45">
        <f>'Region Needs Profile'!B11</f>
        <v>-6.7799999999999999E-2</v>
      </c>
      <c r="I8" s="46">
        <f>'Region Needs Profile'!C11</f>
        <v>58</v>
      </c>
      <c r="J8" s="47">
        <f>'Region Needs Profile'!P11</f>
        <v>-65.331357599398828</v>
      </c>
      <c r="K8" s="3" t="str">
        <f>IF($F8&gt;=PERCENTILE($F$6:$F$138,0.75),"High",IF($F8&gt;=PERCENTILE($F$6:$F$138,0.4),"Moderate","Low"))</f>
        <v>Low</v>
      </c>
      <c r="L8" s="3" t="str">
        <f>IF($J8&gt;=40,"New build / PPEA",IF($J8&lt;=-40,IF($K8="Low","Retrofit + state stack","Retrofit / ESPC"),IF($K8="High","Blended programme","Selective retrofit")))</f>
        <v>Retrofit + state stack</v>
      </c>
      <c r="M8" s="3" t="str">
        <f>IF($L8="New build / PPEA","Levy-backed debt + PPEA availability payment + SCAP 10%",IF($L8="Retrofit + state stack","SCAP 20-30% + Literary Fund + levy + guaranteed savings",IF($L8="Retrofit / ESPC","Levy + guaranteed savings + VPSA pooled bond",IF($L8="Blended programme","Levy-backed debt + ESPC on the retained estate","SCAP + Literary Fund + guaranteed savings"))))</f>
        <v>SCAP 20-30% + Literary Fund + levy + guaranteed savings</v>
      </c>
      <c r="N8" s="35">
        <f>IF(OR($L8="Retrofit / ESPC",$L8="Retrofit + state stack"),$B$142,IF($L8="New build / PPEA",$B$144,$B$143))</f>
        <v>1</v>
      </c>
      <c r="O8" s="35">
        <f>IF($D8="On Nov 2026 ballot",$B$145,IF($D8="Levying since 2020-23",$B$147,IF($D8="Deferred, eyeing 2027",$B$148,$B$146)))</f>
        <v>0.8</v>
      </c>
      <c r="P8" s="34">
        <f>IF($E8=0,"",($F8/MAX($F$6:$F$138))^0.38*100*$N8*$O8)</f>
        <v>10.318114338240436</v>
      </c>
      <c r="Q8" s="48" t="str">
        <f>IF($E8=0,"","P"&amp;MIN(4,ROUNDUP(RANK($P8,$P$6:$P$138)/COUNT($P$6:$P$138)*4,0)))</f>
        <v>P3</v>
      </c>
      <c r="R8" s="3" t="str">
        <f>IF($D8="On Nov 2026 ballot","Wave 1 - position before the vote",IF($D8="Deferred, eyeing 2027","Wave 3 - 2027 referendum cycle",IF($D8="Levying since 2020-23","Wave 2 - next phase / displace incumbent","Wave 1 - VERIFY referendum status first")))</f>
        <v>Wave 1 - VERIFY referendum status first</v>
      </c>
      <c r="S8" s="3" t="str">
        <f>IF($L8="Retrofit + state stack","SCAP application support + no-cost condition assessment",IF($L8="Retrofit / ESPC","No-cost facility condition assessment",IF($L8="New build / PPEA","PPEA concept + capital sequencing review",IF($L8="Blended programme","Capital programme structuring review","Targeted HVAC and roof scope review"))))</f>
        <v>SCAP application support + no-cost condition assessment</v>
      </c>
      <c r="T8" s="49"/>
      <c r="U8" s="49"/>
    </row>
    <row r="9" spans="1:21">
      <c r="A9" s="50" t="str">
        <f>'Opportunity Model'!A9</f>
        <v>Amelia County</v>
      </c>
      <c r="B9" s="50" t="str">
        <f>'Opportunity Model'!B9</f>
        <v>County</v>
      </c>
      <c r="C9" s="51" t="s">
        <v>351</v>
      </c>
      <c r="D9" s="50" t="str">
        <f>'Opportunity Model'!D9</f>
        <v>No public action found</v>
      </c>
      <c r="E9" s="50">
        <f>'Opportunity Model'!E9</f>
        <v>1</v>
      </c>
      <c r="F9" s="52">
        <f>'Opportunity Model'!G9</f>
        <v>50578821.693287946</v>
      </c>
      <c r="G9" s="52">
        <f>'Opportunity Model'!F9</f>
        <v>1663744.1590432413</v>
      </c>
      <c r="H9" s="53">
        <f>'Region Needs Profile'!B13</f>
        <v>-7.3999999999999996E-2</v>
      </c>
      <c r="I9" s="54">
        <f>'Region Needs Profile'!C13</f>
        <v>58</v>
      </c>
      <c r="J9" s="55">
        <f>'Region Needs Profile'!P13</f>
        <v>-87.624466571835001</v>
      </c>
      <c r="K9" s="51" t="str">
        <f>IF($F9&gt;=PERCENTILE($F$6:$F$138,0.75),"High",IF($F9&gt;=PERCENTILE($F$6:$F$138,0.4),"Moderate","Low"))</f>
        <v>Low</v>
      </c>
      <c r="L9" s="51" t="str">
        <f>IF($J9&gt;=40,"New build / PPEA",IF($J9&lt;=-40,IF($K9="Low","Retrofit + state stack","Retrofit / ESPC"),IF($K9="High","Blended programme","Selective retrofit")))</f>
        <v>Retrofit + state stack</v>
      </c>
      <c r="M9" s="51" t="str">
        <f>IF($L9="New build / PPEA","Levy-backed debt + PPEA availability payment + SCAP 10%",IF($L9="Retrofit + state stack","SCAP 20-30% + Literary Fund + levy + guaranteed savings",IF($L9="Retrofit / ESPC","Levy + guaranteed savings + VPSA pooled bond",IF($L9="Blended programme","Levy-backed debt + ESPC on the retained estate","SCAP + Literary Fund + guaranteed savings"))))</f>
        <v>SCAP 20-30% + Literary Fund + levy + guaranteed savings</v>
      </c>
      <c r="N9" s="35">
        <f>IF(OR($L9="Retrofit / ESPC",$L9="Retrofit + state stack"),$B$142,IF($L9="New build / PPEA",$B$144,$B$143))</f>
        <v>1</v>
      </c>
      <c r="O9" s="35">
        <f>IF($D9="On Nov 2026 ballot",$B$145,IF($D9="Levying since 2020-23",$B$147,IF($D9="Deferred, eyeing 2027",$B$148,$B$146)))</f>
        <v>0.8</v>
      </c>
      <c r="P9" s="34">
        <f>IF($E9=0,"",($F9/MAX($F$6:$F$138))^0.38*100*$N9*$O9)</f>
        <v>11.759726889506977</v>
      </c>
      <c r="Q9" s="48" t="str">
        <f>IF($E9=0,"","P"&amp;MIN(4,ROUNDUP(RANK($P9,$P$6:$P$138)/COUNT($P$6:$P$138)*4,0)))</f>
        <v>P3</v>
      </c>
      <c r="R9" s="3" t="str">
        <f>IF($D9="On Nov 2026 ballot","Wave 1 - position before the vote",IF($D9="Deferred, eyeing 2027","Wave 3 - 2027 referendum cycle",IF($D9="Levying since 2020-23","Wave 2 - next phase / displace incumbent","Wave 1 - VERIFY referendum status first")))</f>
        <v>Wave 1 - VERIFY referendum status first</v>
      </c>
      <c r="S9" s="3" t="str">
        <f>IF($L9="Retrofit + state stack","SCAP application support + no-cost condition assessment",IF($L9="Retrofit / ESPC","No-cost facility condition assessment",IF($L9="New build / PPEA","PPEA concept + capital sequencing review",IF($L9="Blended programme","Capital programme structuring review","Targeted HVAC and roof scope review"))))</f>
        <v>SCAP application support + no-cost condition assessment</v>
      </c>
      <c r="T9" s="49"/>
      <c r="U9" s="49"/>
    </row>
    <row r="10" spans="1:21">
      <c r="A10" s="22" t="str">
        <f>'Opportunity Model'!A10</f>
        <v>Amherst County</v>
      </c>
      <c r="B10" s="22" t="str">
        <f>'Opportunity Model'!B10</f>
        <v>County</v>
      </c>
      <c r="C10" s="3" t="s">
        <v>349</v>
      </c>
      <c r="D10" s="22" t="str">
        <f>'Opportunity Model'!D10</f>
        <v>Deferred, eyeing 2027</v>
      </c>
      <c r="E10" s="22">
        <f>'Opportunity Model'!E10</f>
        <v>1</v>
      </c>
      <c r="F10" s="23">
        <f>'Opportunity Model'!G10</f>
        <v>153989207.60070539</v>
      </c>
      <c r="G10" s="23">
        <f>'Opportunity Model'!F10</f>
        <v>5156295.1497355439</v>
      </c>
      <c r="H10" s="45">
        <f>'Region Needs Profile'!B11</f>
        <v>-6.7799999999999999E-2</v>
      </c>
      <c r="I10" s="46">
        <f>'Region Needs Profile'!C11</f>
        <v>58</v>
      </c>
      <c r="J10" s="47">
        <f>'Region Needs Profile'!P11</f>
        <v>-65.331357599398828</v>
      </c>
      <c r="K10" s="3" t="str">
        <f>IF($F10&gt;=PERCENTILE($F$6:$F$138,0.75),"High",IF($F10&gt;=PERCENTILE($F$6:$F$138,0.4),"Moderate","Low"))</f>
        <v>Moderate</v>
      </c>
      <c r="L10" s="3" t="str">
        <f>IF($J10&gt;=40,"New build / PPEA",IF($J10&lt;=-40,IF($K10="Low","Retrofit + state stack","Retrofit / ESPC"),IF($K10="High","Blended programme","Selective retrofit")))</f>
        <v>Retrofit / ESPC</v>
      </c>
      <c r="M10" s="3" t="str">
        <f>IF($L10="New build / PPEA","Levy-backed debt + PPEA availability payment + SCAP 10%",IF($L10="Retrofit + state stack","SCAP 20-30% + Literary Fund + levy + guaranteed savings",IF($L10="Retrofit / ESPC","Levy + guaranteed savings + VPSA pooled bond",IF($L10="Blended programme","Levy-backed debt + ESPC on the retained estate","SCAP + Literary Fund + guaranteed savings"))))</f>
        <v>Levy + guaranteed savings + VPSA pooled bond</v>
      </c>
      <c r="N10" s="35">
        <f>IF(OR($L10="Retrofit / ESPC",$L10="Retrofit + state stack"),$B$142,IF($L10="New build / PPEA",$B$144,$B$143))</f>
        <v>1</v>
      </c>
      <c r="O10" s="35">
        <f>IF($D10="On Nov 2026 ballot",$B$145,IF($D10="Levying since 2020-23",$B$147,IF($D10="Deferred, eyeing 2027",$B$148,$B$146)))</f>
        <v>0.55000000000000004</v>
      </c>
      <c r="P10" s="34">
        <f>IF($E10=0,"",($F10/MAX($F$6:$F$138))^0.38*100*$N10*$O10)</f>
        <v>12.342642139385701</v>
      </c>
      <c r="Q10" s="48" t="str">
        <f>IF($E10=0,"","P"&amp;MIN(4,ROUNDUP(RANK($P10,$P$6:$P$138)/COUNT($P$6:$P$138)*4,0)))</f>
        <v>P3</v>
      </c>
      <c r="R10" s="3" t="str">
        <f>IF($D10="On Nov 2026 ballot","Wave 1 - position before the vote",IF($D10="Deferred, eyeing 2027","Wave 3 - 2027 referendum cycle",IF($D10="Levying since 2020-23","Wave 2 - next phase / displace incumbent","Wave 1 - VERIFY referendum status first")))</f>
        <v>Wave 3 - 2027 referendum cycle</v>
      </c>
      <c r="S10" s="3" t="str">
        <f>IF($L10="Retrofit + state stack","SCAP application support + no-cost condition assessment",IF($L10="Retrofit / ESPC","No-cost facility condition assessment",IF($L10="New build / PPEA","PPEA concept + capital sequencing review",IF($L10="Blended programme","Capital programme structuring review","Targeted HVAC and roof scope review"))))</f>
        <v>No-cost facility condition assessment</v>
      </c>
      <c r="T10" s="49"/>
      <c r="U10" s="49"/>
    </row>
    <row r="11" spans="1:21">
      <c r="A11" s="50" t="str">
        <f>'Opportunity Model'!A11</f>
        <v>Appomattox County</v>
      </c>
      <c r="B11" s="50" t="str">
        <f>'Opportunity Model'!B11</f>
        <v>County</v>
      </c>
      <c r="C11" s="51" t="s">
        <v>349</v>
      </c>
      <c r="D11" s="50" t="str">
        <f>'Opportunity Model'!D11</f>
        <v>No public action found</v>
      </c>
      <c r="E11" s="50">
        <f>'Opportunity Model'!E11</f>
        <v>1</v>
      </c>
      <c r="F11" s="52">
        <f>'Opportunity Model'!G11</f>
        <v>74351620.347939163</v>
      </c>
      <c r="G11" s="52">
        <f>'Opportunity Model'!F11</f>
        <v>2407487.1742085614</v>
      </c>
      <c r="H11" s="53">
        <f>'Region Needs Profile'!B11</f>
        <v>-6.7799999999999999E-2</v>
      </c>
      <c r="I11" s="54">
        <f>'Region Needs Profile'!C11</f>
        <v>58</v>
      </c>
      <c r="J11" s="55">
        <f>'Region Needs Profile'!P11</f>
        <v>-65.331357599398828</v>
      </c>
      <c r="K11" s="51" t="str">
        <f>IF($F11&gt;=PERCENTILE($F$6:$F$138,0.75),"High",IF($F11&gt;=PERCENTILE($F$6:$F$138,0.4),"Moderate","Low"))</f>
        <v>Low</v>
      </c>
      <c r="L11" s="51" t="str">
        <f>IF($J11&gt;=40,"New build / PPEA",IF($J11&lt;=-40,IF($K11="Low","Retrofit + state stack","Retrofit / ESPC"),IF($K11="High","Blended programme","Selective retrofit")))</f>
        <v>Retrofit + state stack</v>
      </c>
      <c r="M11" s="51" t="str">
        <f>IF($L11="New build / PPEA","Levy-backed debt + PPEA availability payment + SCAP 10%",IF($L11="Retrofit + state stack","SCAP 20-30% + Literary Fund + levy + guaranteed savings",IF($L11="Retrofit / ESPC","Levy + guaranteed savings + VPSA pooled bond",IF($L11="Blended programme","Levy-backed debt + ESPC on the retained estate","SCAP + Literary Fund + guaranteed savings"))))</f>
        <v>SCAP 20-30% + Literary Fund + levy + guaranteed savings</v>
      </c>
      <c r="N11" s="35">
        <f>IF(OR($L11="Retrofit / ESPC",$L11="Retrofit + state stack"),$B$142,IF($L11="New build / PPEA",$B$144,$B$143))</f>
        <v>1</v>
      </c>
      <c r="O11" s="35">
        <f>IF($D11="On Nov 2026 ballot",$B$145,IF($D11="Levying since 2020-23",$B$147,IF($D11="Deferred, eyeing 2027",$B$148,$B$146)))</f>
        <v>0.8</v>
      </c>
      <c r="P11" s="34">
        <f>IF($E11=0,"",($F11/MAX($F$6:$F$138))^0.38*100*$N11*$O11)</f>
        <v>13.613803980475547</v>
      </c>
      <c r="Q11" s="48" t="str">
        <f>IF($E11=0,"","P"&amp;MIN(4,ROUNDUP(RANK($P11,$P$6:$P$138)/COUNT($P$6:$P$138)*4,0)))</f>
        <v>P2</v>
      </c>
      <c r="R11" s="3" t="str">
        <f>IF($D11="On Nov 2026 ballot","Wave 1 - position before the vote",IF($D11="Deferred, eyeing 2027","Wave 3 - 2027 referendum cycle",IF($D11="Levying since 2020-23","Wave 2 - next phase / displace incumbent","Wave 1 - VERIFY referendum status first")))</f>
        <v>Wave 1 - VERIFY referendum status first</v>
      </c>
      <c r="S11" s="3" t="str">
        <f>IF($L11="Retrofit + state stack","SCAP application support + no-cost condition assessment",IF($L11="Retrofit / ESPC","No-cost facility condition assessment",IF($L11="New build / PPEA","PPEA concept + capital sequencing review",IF($L11="Blended programme","Capital programme structuring review","Targeted HVAC and roof scope review"))))</f>
        <v>SCAP application support + no-cost condition assessment</v>
      </c>
      <c r="T11" s="49"/>
      <c r="U11" s="49"/>
    </row>
    <row r="12" spans="1:21">
      <c r="A12" s="22" t="str">
        <f>'Opportunity Model'!A12</f>
        <v>Arlington County</v>
      </c>
      <c r="B12" s="22" t="str">
        <f>'Opportunity Model'!B12</f>
        <v>County</v>
      </c>
      <c r="C12" s="3" t="s">
        <v>347</v>
      </c>
      <c r="D12" s="22" t="str">
        <f>'Opportunity Model'!D12</f>
        <v>Deferred, eyeing 2027</v>
      </c>
      <c r="E12" s="22">
        <f>'Opportunity Model'!E12</f>
        <v>1</v>
      </c>
      <c r="F12" s="23">
        <f>'Opportunity Model'!G12</f>
        <v>1735133152.8631141</v>
      </c>
      <c r="G12" s="23">
        <f>'Opportunity Model'!F12</f>
        <v>59799661.761441618</v>
      </c>
      <c r="H12" s="45">
        <f>'Region Needs Profile'!B9</f>
        <v>7.9399999999999998E-2</v>
      </c>
      <c r="I12" s="46">
        <f>'Region Needs Profile'!C9</f>
        <v>48</v>
      </c>
      <c r="J12" s="47">
        <f>'Region Needs Profile'!P9</f>
        <v>54.342196447459614</v>
      </c>
      <c r="K12" s="3" t="str">
        <f>IF($F12&gt;=PERCENTILE($F$6:$F$138,0.75),"High",IF($F12&gt;=PERCENTILE($F$6:$F$138,0.4),"Moderate","Low"))</f>
        <v>High</v>
      </c>
      <c r="L12" s="3" t="str">
        <f>IF($J12&gt;=40,"New build / PPEA",IF($J12&lt;=-40,IF($K12="Low","Retrofit + state stack","Retrofit / ESPC"),IF($K12="High","Blended programme","Selective retrofit")))</f>
        <v>New build / PPEA</v>
      </c>
      <c r="M12" s="3" t="str">
        <f>IF($L12="New build / PPEA","Levy-backed debt + PPEA availability payment + SCAP 10%",IF($L12="Retrofit + state stack","SCAP 20-30% + Literary Fund + levy + guaranteed savings",IF($L12="Retrofit / ESPC","Levy + guaranteed savings + VPSA pooled bond",IF($L12="Blended programme","Levy-backed debt + ESPC on the retained estate","SCAP + Literary Fund + guaranteed savings"))))</f>
        <v>Levy-backed debt + PPEA availability payment + SCAP 10%</v>
      </c>
      <c r="N12" s="35">
        <f>IF(OR($L12="Retrofit / ESPC",$L12="Retrofit + state stack"),$B$142,IF($L12="New build / PPEA",$B$144,$B$143))</f>
        <v>0.45</v>
      </c>
      <c r="O12" s="35">
        <f>IF($D12="On Nov 2026 ballot",$B$145,IF($D12="Levying since 2020-23",$B$147,IF($D12="Deferred, eyeing 2027",$B$148,$B$146)))</f>
        <v>0.55000000000000004</v>
      </c>
      <c r="P12" s="34">
        <f>IF($E12=0,"",($F12/MAX($F$6:$F$138))^0.38*100*$N12*$O12)</f>
        <v>13.941862976171013</v>
      </c>
      <c r="Q12" s="48" t="str">
        <f>IF($E12=0,"","P"&amp;MIN(4,ROUNDUP(RANK($P12,$P$6:$P$138)/COUNT($P$6:$P$138)*4,0)))</f>
        <v>P2</v>
      </c>
      <c r="R12" s="3" t="str">
        <f>IF($D12="On Nov 2026 ballot","Wave 1 - position before the vote",IF($D12="Deferred, eyeing 2027","Wave 3 - 2027 referendum cycle",IF($D12="Levying since 2020-23","Wave 2 - next phase / displace incumbent","Wave 1 - VERIFY referendum status first")))</f>
        <v>Wave 3 - 2027 referendum cycle</v>
      </c>
      <c r="S12" s="3" t="str">
        <f>IF($L12="Retrofit + state stack","SCAP application support + no-cost condition assessment",IF($L12="Retrofit / ESPC","No-cost facility condition assessment",IF($L12="New build / PPEA","PPEA concept + capital sequencing review",IF($L12="Blended programme","Capital programme structuring review","Targeted HVAC and roof scope review"))))</f>
        <v>PPEA concept + capital sequencing review</v>
      </c>
      <c r="T12" s="49"/>
      <c r="U12" s="49"/>
    </row>
    <row r="13" spans="1:21">
      <c r="A13" s="50" t="str">
        <f>'Opportunity Model'!A13</f>
        <v>Augusta County</v>
      </c>
      <c r="B13" s="50" t="str">
        <f>'Opportunity Model'!B13</f>
        <v>County</v>
      </c>
      <c r="C13" s="51" t="s">
        <v>348</v>
      </c>
      <c r="D13" s="50" t="str">
        <f>'Opportunity Model'!D13</f>
        <v>No public action found</v>
      </c>
      <c r="E13" s="50">
        <f>'Opportunity Model'!E13</f>
        <v>1</v>
      </c>
      <c r="F13" s="52">
        <f>'Opportunity Model'!G13</f>
        <v>333532485.76545388</v>
      </c>
      <c r="G13" s="52">
        <f>'Opportunity Model'!F13</f>
        <v>10946274.887089394</v>
      </c>
      <c r="H13" s="53">
        <f>'Region Needs Profile'!B10</f>
        <v>3.0099999999999998E-2</v>
      </c>
      <c r="I13" s="54">
        <f>'Region Needs Profile'!C10</f>
        <v>55</v>
      </c>
      <c r="J13" s="55">
        <f>'Region Needs Profile'!P10</f>
        <v>10.405306444373188</v>
      </c>
      <c r="K13" s="51" t="str">
        <f>IF($F13&gt;=PERCENTILE($F$6:$F$138,0.75),"High",IF($F13&gt;=PERCENTILE($F$6:$F$138,0.4),"Moderate","Low"))</f>
        <v>Moderate</v>
      </c>
      <c r="L13" s="51" t="str">
        <f>IF($J13&gt;=40,"New build / PPEA",IF($J13&lt;=-40,IF($K13="Low","Retrofit + state stack","Retrofit / ESPC"),IF($K13="High","Blended programme","Selective retrofit")))</f>
        <v>Selective retrofit</v>
      </c>
      <c r="M13" s="51" t="str">
        <f>IF($L13="New build / PPEA","Levy-backed debt + PPEA availability payment + SCAP 10%",IF($L13="Retrofit + state stack","SCAP 20-30% + Literary Fund + levy + guaranteed savings",IF($L13="Retrofit / ESPC","Levy + guaranteed savings + VPSA pooled bond",IF($L13="Blended programme","Levy-backed debt + ESPC on the retained estate","SCAP + Literary Fund + guaranteed savings"))))</f>
        <v>SCAP + Literary Fund + guaranteed savings</v>
      </c>
      <c r="N13" s="35">
        <f>IF(OR($L13="Retrofit / ESPC",$L13="Retrofit + state stack"),$B$142,IF($L13="New build / PPEA",$B$144,$B$143))</f>
        <v>0.7</v>
      </c>
      <c r="O13" s="35">
        <f>IF($D13="On Nov 2026 ballot",$B$145,IF($D13="Levying since 2020-23",$B$147,IF($D13="Deferred, eyeing 2027",$B$148,$B$146)))</f>
        <v>0.8</v>
      </c>
      <c r="P13" s="34">
        <f>IF($E13=0,"",($F13/MAX($F$6:$F$138))^0.38*100*$N13*$O13)</f>
        <v>16.85697567458913</v>
      </c>
      <c r="Q13" s="48" t="str">
        <f>IF($E13=0,"","P"&amp;MIN(4,ROUNDUP(RANK($P13,$P$6:$P$138)/COUNT($P$6:$P$138)*4,0)))</f>
        <v>P2</v>
      </c>
      <c r="R13" s="3" t="str">
        <f>IF($D13="On Nov 2026 ballot","Wave 1 - position before the vote",IF($D13="Deferred, eyeing 2027","Wave 3 - 2027 referendum cycle",IF($D13="Levying since 2020-23","Wave 2 - next phase / displace incumbent","Wave 1 - VERIFY referendum status first")))</f>
        <v>Wave 1 - VERIFY referendum status first</v>
      </c>
      <c r="S13" s="3" t="str">
        <f>IF($L13="Retrofit + state stack","SCAP application support + no-cost condition assessment",IF($L13="Retrofit / ESPC","No-cost facility condition assessment",IF($L13="New build / PPEA","PPEA concept + capital sequencing review",IF($L13="Blended programme","Capital programme structuring review","Targeted HVAC and roof scope review"))))</f>
        <v>Targeted HVAC and roof scope review</v>
      </c>
      <c r="T13" s="49"/>
      <c r="U13" s="49"/>
    </row>
    <row r="14" spans="1:21">
      <c r="A14" s="22" t="str">
        <f>'Opportunity Model'!A14</f>
        <v>Bath County</v>
      </c>
      <c r="B14" s="22" t="str">
        <f>'Opportunity Model'!B14</f>
        <v>County</v>
      </c>
      <c r="C14" s="3" t="s">
        <v>348</v>
      </c>
      <c r="D14" s="22" t="str">
        <f>'Opportunity Model'!D14</f>
        <v>No public action found</v>
      </c>
      <c r="E14" s="22">
        <f>'Opportunity Model'!E14</f>
        <v>1</v>
      </c>
      <c r="F14" s="23">
        <f>'Opportunity Model'!G14</f>
        <v>44812188.82103619</v>
      </c>
      <c r="G14" s="23">
        <f>'Opportunity Model'!F14</f>
        <v>1443091.5630992991</v>
      </c>
      <c r="H14" s="45">
        <f>'Region Needs Profile'!B10</f>
        <v>3.0099999999999998E-2</v>
      </c>
      <c r="I14" s="46">
        <f>'Region Needs Profile'!C10</f>
        <v>55</v>
      </c>
      <c r="J14" s="47">
        <f>'Region Needs Profile'!P10</f>
        <v>10.405306444373188</v>
      </c>
      <c r="K14" s="3" t="str">
        <f>IF($F14&gt;=PERCENTILE($F$6:$F$138,0.75),"High",IF($F14&gt;=PERCENTILE($F$6:$F$138,0.4),"Moderate","Low"))</f>
        <v>Low</v>
      </c>
      <c r="L14" s="3" t="str">
        <f>IF($J14&gt;=40,"New build / PPEA",IF($J14&lt;=-40,IF($K14="Low","Retrofit + state stack","Retrofit / ESPC"),IF($K14="High","Blended programme","Selective retrofit")))</f>
        <v>Selective retrofit</v>
      </c>
      <c r="M14" s="3" t="str">
        <f>IF($L14="New build / PPEA","Levy-backed debt + PPEA availability payment + SCAP 10%",IF($L14="Retrofit + state stack","SCAP 20-30% + Literary Fund + levy + guaranteed savings",IF($L14="Retrofit / ESPC","Levy + guaranteed savings + VPSA pooled bond",IF($L14="Blended programme","Levy-backed debt + ESPC on the retained estate","SCAP + Literary Fund + guaranteed savings"))))</f>
        <v>SCAP + Literary Fund + guaranteed savings</v>
      </c>
      <c r="N14" s="35">
        <f>IF(OR($L14="Retrofit / ESPC",$L14="Retrofit + state stack"),$B$142,IF($L14="New build / PPEA",$B$144,$B$143))</f>
        <v>0.7</v>
      </c>
      <c r="O14" s="35">
        <f>IF($D14="On Nov 2026 ballot",$B$145,IF($D14="Levying since 2020-23",$B$147,IF($D14="Deferred, eyeing 2027",$B$148,$B$146)))</f>
        <v>0.8</v>
      </c>
      <c r="P14" s="34">
        <f>IF($E14=0,"",($F14/MAX($F$6:$F$138))^0.38*100*$N14*$O14)</f>
        <v>7.8617224345866195</v>
      </c>
      <c r="Q14" s="48" t="str">
        <f>IF($E14=0,"","P"&amp;MIN(4,ROUNDUP(RANK($P14,$P$6:$P$138)/COUNT($P$6:$P$138)*4,0)))</f>
        <v>P4</v>
      </c>
      <c r="R14" s="3" t="str">
        <f>IF($D14="On Nov 2026 ballot","Wave 1 - position before the vote",IF($D14="Deferred, eyeing 2027","Wave 3 - 2027 referendum cycle",IF($D14="Levying since 2020-23","Wave 2 - next phase / displace incumbent","Wave 1 - VERIFY referendum status first")))</f>
        <v>Wave 1 - VERIFY referendum status first</v>
      </c>
      <c r="S14" s="3" t="str">
        <f>IF($L14="Retrofit + state stack","SCAP application support + no-cost condition assessment",IF($L14="Retrofit / ESPC","No-cost facility condition assessment",IF($L14="New build / PPEA","PPEA concept + capital sequencing review",IF($L14="Blended programme","Capital programme structuring review","Targeted HVAC and roof scope review"))))</f>
        <v>Targeted HVAC and roof scope review</v>
      </c>
      <c r="T14" s="49"/>
      <c r="U14" s="49"/>
    </row>
    <row r="15" spans="1:21">
      <c r="A15" s="50" t="str">
        <f>'Opportunity Model'!A15</f>
        <v>Bedford County</v>
      </c>
      <c r="B15" s="50" t="str">
        <f>'Opportunity Model'!B15</f>
        <v>County</v>
      </c>
      <c r="C15" s="51" t="s">
        <v>349</v>
      </c>
      <c r="D15" s="50" t="str">
        <f>'Opportunity Model'!D15</f>
        <v>No public action found</v>
      </c>
      <c r="E15" s="50">
        <f>'Opportunity Model'!E15</f>
        <v>1</v>
      </c>
      <c r="F15" s="52">
        <f>'Opportunity Model'!G15</f>
        <v>359440693.33183873</v>
      </c>
      <c r="G15" s="52">
        <f>'Opportunity Model'!F15</f>
        <v>11900161.715659292</v>
      </c>
      <c r="H15" s="53">
        <f>'Region Needs Profile'!B11</f>
        <v>-6.7799999999999999E-2</v>
      </c>
      <c r="I15" s="54">
        <f>'Region Needs Profile'!C11</f>
        <v>58</v>
      </c>
      <c r="J15" s="55">
        <f>'Region Needs Profile'!P11</f>
        <v>-65.331357599398828</v>
      </c>
      <c r="K15" s="51" t="str">
        <f>IF($F15&gt;=PERCENTILE($F$6:$F$138,0.75),"High",IF($F15&gt;=PERCENTILE($F$6:$F$138,0.4),"Moderate","Low"))</f>
        <v>Moderate</v>
      </c>
      <c r="L15" s="51" t="str">
        <f>IF($J15&gt;=40,"New build / PPEA",IF($J15&lt;=-40,IF($K15="Low","Retrofit + state stack","Retrofit / ESPC"),IF($K15="High","Blended programme","Selective retrofit")))</f>
        <v>Retrofit / ESPC</v>
      </c>
      <c r="M15" s="51" t="str">
        <f>IF($L15="New build / PPEA","Levy-backed debt + PPEA availability payment + SCAP 10%",IF($L15="Retrofit + state stack","SCAP 20-30% + Literary Fund + levy + guaranteed savings",IF($L15="Retrofit / ESPC","Levy + guaranteed savings + VPSA pooled bond",IF($L15="Blended programme","Levy-backed debt + ESPC on the retained estate","SCAP + Literary Fund + guaranteed savings"))))</f>
        <v>Levy + guaranteed savings + VPSA pooled bond</v>
      </c>
      <c r="N15" s="35">
        <f>IF(OR($L15="Retrofit / ESPC",$L15="Retrofit + state stack"),$B$142,IF($L15="New build / PPEA",$B$144,$B$143))</f>
        <v>1</v>
      </c>
      <c r="O15" s="35">
        <f>IF($D15="On Nov 2026 ballot",$B$145,IF($D15="Levying since 2020-23",$B$147,IF($D15="Deferred, eyeing 2027",$B$148,$B$146)))</f>
        <v>0.8</v>
      </c>
      <c r="P15" s="34">
        <f>IF($E15=0,"",($F15/MAX($F$6:$F$138))^0.38*100*$N15*$O15)</f>
        <v>24.775788174076556</v>
      </c>
      <c r="Q15" s="48" t="str">
        <f>IF($E15=0,"","P"&amp;MIN(4,ROUNDUP(RANK($P15,$P$6:$P$138)/COUNT($P$6:$P$138)*4,0)))</f>
        <v>P1</v>
      </c>
      <c r="R15" s="3" t="str">
        <f>IF($D15="On Nov 2026 ballot","Wave 1 - position before the vote",IF($D15="Deferred, eyeing 2027","Wave 3 - 2027 referendum cycle",IF($D15="Levying since 2020-23","Wave 2 - next phase / displace incumbent","Wave 1 - VERIFY referendum status first")))</f>
        <v>Wave 1 - VERIFY referendum status first</v>
      </c>
      <c r="S15" s="3" t="str">
        <f>IF($L15="Retrofit + state stack","SCAP application support + no-cost condition assessment",IF($L15="Retrofit / ESPC","No-cost facility condition assessment",IF($L15="New build / PPEA","PPEA concept + capital sequencing review",IF($L15="Blended programme","Capital programme structuring review","Targeted HVAC and roof scope review"))))</f>
        <v>No-cost facility condition assessment</v>
      </c>
      <c r="T15" s="49"/>
      <c r="U15" s="49"/>
    </row>
    <row r="16" spans="1:21">
      <c r="A16" s="22" t="str">
        <f>'Opportunity Model'!A16</f>
        <v>Bland County</v>
      </c>
      <c r="B16" s="22" t="str">
        <f>'Opportunity Model'!B16</f>
        <v>County</v>
      </c>
      <c r="C16" s="3" t="s">
        <v>350</v>
      </c>
      <c r="D16" s="22" t="str">
        <f>'Opportunity Model'!D16</f>
        <v>No public action found</v>
      </c>
      <c r="E16" s="22">
        <f>'Opportunity Model'!E16</f>
        <v>1</v>
      </c>
      <c r="F16" s="23">
        <f>'Opportunity Model'!G16</f>
        <v>18004006.431871071</v>
      </c>
      <c r="G16" s="23">
        <f>'Opportunity Model'!F16</f>
        <v>652438.21811412333</v>
      </c>
      <c r="H16" s="45">
        <f>'Region Needs Profile'!B12</f>
        <v>-0.10009999999999999</v>
      </c>
      <c r="I16" s="46">
        <f>'Region Needs Profile'!C12</f>
        <v>58</v>
      </c>
      <c r="J16" s="47">
        <f>'Region Needs Profile'!P12</f>
        <v>-93.064667291471423</v>
      </c>
      <c r="K16" s="3" t="str">
        <f>IF($F16&gt;=PERCENTILE($F$6:$F$138,0.75),"High",IF($F16&gt;=PERCENTILE($F$6:$F$138,0.4),"Moderate","Low"))</f>
        <v>Low</v>
      </c>
      <c r="L16" s="3" t="str">
        <f>IF($J16&gt;=40,"New build / PPEA",IF($J16&lt;=-40,IF($K16="Low","Retrofit + state stack","Retrofit / ESPC"),IF($K16="High","Blended programme","Selective retrofit")))</f>
        <v>Retrofit + state stack</v>
      </c>
      <c r="M16" s="3" t="str">
        <f>IF($L16="New build / PPEA","Levy-backed debt + PPEA availability payment + SCAP 10%",IF($L16="Retrofit + state stack","SCAP 20-30% + Literary Fund + levy + guaranteed savings",IF($L16="Retrofit / ESPC","Levy + guaranteed savings + VPSA pooled bond",IF($L16="Blended programme","Levy-backed debt + ESPC on the retained estate","SCAP + Literary Fund + guaranteed savings"))))</f>
        <v>SCAP 20-30% + Literary Fund + levy + guaranteed savings</v>
      </c>
      <c r="N16" s="35">
        <f>IF(OR($L16="Retrofit / ESPC",$L16="Retrofit + state stack"),$B$142,IF($L16="New build / PPEA",$B$144,$B$143))</f>
        <v>1</v>
      </c>
      <c r="O16" s="35">
        <f>IF($D16="On Nov 2026 ballot",$B$145,IF($D16="Levying since 2020-23",$B$147,IF($D16="Deferred, eyeing 2027",$B$148,$B$146)))</f>
        <v>0.8</v>
      </c>
      <c r="P16" s="34">
        <f>IF($E16=0,"",($F16/MAX($F$6:$F$138))^0.38*100*$N16*$O16)</f>
        <v>7.9419913074991104</v>
      </c>
      <c r="Q16" s="48" t="str">
        <f>IF($E16=0,"","P"&amp;MIN(4,ROUNDUP(RANK($P16,$P$6:$P$138)/COUNT($P$6:$P$138)*4,0)))</f>
        <v>P4</v>
      </c>
      <c r="R16" s="3" t="str">
        <f>IF($D16="On Nov 2026 ballot","Wave 1 - position before the vote",IF($D16="Deferred, eyeing 2027","Wave 3 - 2027 referendum cycle",IF($D16="Levying since 2020-23","Wave 2 - next phase / displace incumbent","Wave 1 - VERIFY referendum status first")))</f>
        <v>Wave 1 - VERIFY referendum status first</v>
      </c>
      <c r="S16" s="3" t="str">
        <f>IF($L16="Retrofit + state stack","SCAP application support + no-cost condition assessment",IF($L16="Retrofit / ESPC","No-cost facility condition assessment",IF($L16="New build / PPEA","PPEA concept + capital sequencing review",IF($L16="Blended programme","Capital programme structuring review","Targeted HVAC and roof scope review"))))</f>
        <v>SCAP application support + no-cost condition assessment</v>
      </c>
      <c r="T16" s="49"/>
      <c r="U16" s="49"/>
    </row>
    <row r="17" spans="1:21">
      <c r="A17" s="50" t="str">
        <f>'Opportunity Model'!A17</f>
        <v>Botetourt County</v>
      </c>
      <c r="B17" s="50" t="str">
        <f>'Opportunity Model'!B17</f>
        <v>County</v>
      </c>
      <c r="C17" s="51" t="s">
        <v>349</v>
      </c>
      <c r="D17" s="50" t="str">
        <f>'Opportunity Model'!D17</f>
        <v>No public action found</v>
      </c>
      <c r="E17" s="50">
        <f>'Opportunity Model'!E17</f>
        <v>1</v>
      </c>
      <c r="F17" s="52">
        <f>'Opportunity Model'!G17</f>
        <v>151067838.365576</v>
      </c>
      <c r="G17" s="52">
        <f>'Opportunity Model'!F17</f>
        <v>5151294.1546494411</v>
      </c>
      <c r="H17" s="53">
        <f>'Region Needs Profile'!B11</f>
        <v>-6.7799999999999999E-2</v>
      </c>
      <c r="I17" s="54">
        <f>'Region Needs Profile'!C11</f>
        <v>58</v>
      </c>
      <c r="J17" s="55">
        <f>'Region Needs Profile'!P11</f>
        <v>-65.331357599398828</v>
      </c>
      <c r="K17" s="51" t="str">
        <f>IF($F17&gt;=PERCENTILE($F$6:$F$138,0.75),"High",IF($F17&gt;=PERCENTILE($F$6:$F$138,0.4),"Moderate","Low"))</f>
        <v>Moderate</v>
      </c>
      <c r="L17" s="51" t="str">
        <f>IF($J17&gt;=40,"New build / PPEA",IF($J17&lt;=-40,IF($K17="Low","Retrofit + state stack","Retrofit / ESPC"),IF($K17="High","Blended programme","Selective retrofit")))</f>
        <v>Retrofit / ESPC</v>
      </c>
      <c r="M17" s="51" t="str">
        <f>IF($L17="New build / PPEA","Levy-backed debt + PPEA availability payment + SCAP 10%",IF($L17="Retrofit + state stack","SCAP 20-30% + Literary Fund + levy + guaranteed savings",IF($L17="Retrofit / ESPC","Levy + guaranteed savings + VPSA pooled bond",IF($L17="Blended programme","Levy-backed debt + ESPC on the retained estate","SCAP + Literary Fund + guaranteed savings"))))</f>
        <v>Levy + guaranteed savings + VPSA pooled bond</v>
      </c>
      <c r="N17" s="35">
        <f>IF(OR($L17="Retrofit / ESPC",$L17="Retrofit + state stack"),$B$142,IF($L17="New build / PPEA",$B$144,$B$143))</f>
        <v>1</v>
      </c>
      <c r="O17" s="35">
        <f>IF($D17="On Nov 2026 ballot",$B$145,IF($D17="Levying since 2020-23",$B$147,IF($D17="Deferred, eyeing 2027",$B$148,$B$146)))</f>
        <v>0.8</v>
      </c>
      <c r="P17" s="34">
        <f>IF($E17=0,"",($F17/MAX($F$6:$F$138))^0.38*100*$N17*$O17)</f>
        <v>17.822740856707494</v>
      </c>
      <c r="Q17" s="48" t="str">
        <f>IF($E17=0,"","P"&amp;MIN(4,ROUNDUP(RANK($P17,$P$6:$P$138)/COUNT($P$6:$P$138)*4,0)))</f>
        <v>P1</v>
      </c>
      <c r="R17" s="3" t="str">
        <f>IF($D17="On Nov 2026 ballot","Wave 1 - position before the vote",IF($D17="Deferred, eyeing 2027","Wave 3 - 2027 referendum cycle",IF($D17="Levying since 2020-23","Wave 2 - next phase / displace incumbent","Wave 1 - VERIFY referendum status first")))</f>
        <v>Wave 1 - VERIFY referendum status first</v>
      </c>
      <c r="S17" s="3" t="str">
        <f>IF($L17="Retrofit + state stack","SCAP application support + no-cost condition assessment",IF($L17="Retrofit / ESPC","No-cost facility condition assessment",IF($L17="New build / PPEA","PPEA concept + capital sequencing review",IF($L17="Blended programme","Capital programme structuring review","Targeted HVAC and roof scope review"))))</f>
        <v>No-cost facility condition assessment</v>
      </c>
      <c r="T17" s="49"/>
      <c r="U17" s="49"/>
    </row>
    <row r="18" spans="1:21">
      <c r="A18" s="22" t="str">
        <f>'Opportunity Model'!A18</f>
        <v>Brunswick County</v>
      </c>
      <c r="B18" s="22" t="str">
        <f>'Opportunity Model'!B18</f>
        <v>County</v>
      </c>
      <c r="C18" s="3" t="s">
        <v>351</v>
      </c>
      <c r="D18" s="22" t="str">
        <f>'Opportunity Model'!D18</f>
        <v>No public action found</v>
      </c>
      <c r="E18" s="22">
        <f>'Opportunity Model'!E18</f>
        <v>1</v>
      </c>
      <c r="F18" s="23">
        <f>'Opportunity Model'!G18</f>
        <v>37848918.853466101</v>
      </c>
      <c r="G18" s="23">
        <f>'Opportunity Model'!F18</f>
        <v>1338577.1344858331</v>
      </c>
      <c r="H18" s="45">
        <f>'Region Needs Profile'!B13</f>
        <v>-7.3999999999999996E-2</v>
      </c>
      <c r="I18" s="46">
        <f>'Region Needs Profile'!C13</f>
        <v>58</v>
      </c>
      <c r="J18" s="47">
        <f>'Region Needs Profile'!P13</f>
        <v>-87.624466571835001</v>
      </c>
      <c r="K18" s="3" t="str">
        <f>IF($F18&gt;=PERCENTILE($F$6:$F$138,0.75),"High",IF($F18&gt;=PERCENTILE($F$6:$F$138,0.4),"Moderate","Low"))</f>
        <v>Low</v>
      </c>
      <c r="L18" s="3" t="str">
        <f>IF($J18&gt;=40,"New build / PPEA",IF($J18&lt;=-40,IF($K18="Low","Retrofit + state stack","Retrofit / ESPC"),IF($K18="High","Blended programme","Selective retrofit")))</f>
        <v>Retrofit + state stack</v>
      </c>
      <c r="M18" s="3" t="str">
        <f>IF($L18="New build / PPEA","Levy-backed debt + PPEA availability payment + SCAP 10%",IF($L18="Retrofit + state stack","SCAP 20-30% + Literary Fund + levy + guaranteed savings",IF($L18="Retrofit / ESPC","Levy + guaranteed savings + VPSA pooled bond",IF($L18="Blended programme","Levy-backed debt + ESPC on the retained estate","SCAP + Literary Fund + guaranteed savings"))))</f>
        <v>SCAP 20-30% + Literary Fund + levy + guaranteed savings</v>
      </c>
      <c r="N18" s="35">
        <f>IF(OR($L18="Retrofit / ESPC",$L18="Retrofit + state stack"),$B$142,IF($L18="New build / PPEA",$B$144,$B$143))</f>
        <v>1</v>
      </c>
      <c r="O18" s="35">
        <f>IF($D18="On Nov 2026 ballot",$B$145,IF($D18="Levying since 2020-23",$B$147,IF($D18="Deferred, eyeing 2027",$B$148,$B$146)))</f>
        <v>0.8</v>
      </c>
      <c r="P18" s="34">
        <f>IF($E18=0,"",($F18/MAX($F$6:$F$138))^0.38*100*$N18*$O18)</f>
        <v>10.532936079928316</v>
      </c>
      <c r="Q18" s="48" t="str">
        <f>IF($E18=0,"","P"&amp;MIN(4,ROUNDUP(RANK($P18,$P$6:$P$138)/COUNT($P$6:$P$138)*4,0)))</f>
        <v>P3</v>
      </c>
      <c r="R18" s="3" t="str">
        <f>IF($D18="On Nov 2026 ballot","Wave 1 - position before the vote",IF($D18="Deferred, eyeing 2027","Wave 3 - 2027 referendum cycle",IF($D18="Levying since 2020-23","Wave 2 - next phase / displace incumbent","Wave 1 - VERIFY referendum status first")))</f>
        <v>Wave 1 - VERIFY referendum status first</v>
      </c>
      <c r="S18" s="3" t="str">
        <f>IF($L18="Retrofit + state stack","SCAP application support + no-cost condition assessment",IF($L18="Retrofit / ESPC","No-cost facility condition assessment",IF($L18="New build / PPEA","PPEA concept + capital sequencing review",IF($L18="Blended programme","Capital programme structuring review","Targeted HVAC and roof scope review"))))</f>
        <v>SCAP application support + no-cost condition assessment</v>
      </c>
      <c r="T18" s="49"/>
      <c r="U18" s="49"/>
    </row>
    <row r="19" spans="1:21">
      <c r="A19" s="50" t="str">
        <f>'Opportunity Model'!A19</f>
        <v>Buchanan County</v>
      </c>
      <c r="B19" s="50" t="str">
        <f>'Opportunity Model'!B19</f>
        <v>County</v>
      </c>
      <c r="C19" s="51" t="s">
        <v>350</v>
      </c>
      <c r="D19" s="50" t="str">
        <f>'Opportunity Model'!D19</f>
        <v>Deferred, eyeing 2027</v>
      </c>
      <c r="E19" s="50">
        <f>'Opportunity Model'!E19</f>
        <v>1</v>
      </c>
      <c r="F19" s="52">
        <f>'Opportunity Model'!G19</f>
        <v>61764926.505962327</v>
      </c>
      <c r="G19" s="52">
        <f>'Opportunity Model'!F19</f>
        <v>2407004.6895995485</v>
      </c>
      <c r="H19" s="53">
        <f>'Region Needs Profile'!B12</f>
        <v>-0.10009999999999999</v>
      </c>
      <c r="I19" s="54">
        <f>'Region Needs Profile'!C12</f>
        <v>58</v>
      </c>
      <c r="J19" s="55">
        <f>'Region Needs Profile'!P12</f>
        <v>-93.064667291471423</v>
      </c>
      <c r="K19" s="51" t="str">
        <f>IF($F19&gt;=PERCENTILE($F$6:$F$138,0.75),"High",IF($F19&gt;=PERCENTILE($F$6:$F$138,0.4),"Moderate","Low"))</f>
        <v>Low</v>
      </c>
      <c r="L19" s="51" t="str">
        <f>IF($J19&gt;=40,"New build / PPEA",IF($J19&lt;=-40,IF($K19="Low","Retrofit + state stack","Retrofit / ESPC"),IF($K19="High","Blended programme","Selective retrofit")))</f>
        <v>Retrofit + state stack</v>
      </c>
      <c r="M19" s="51" t="str">
        <f>IF($L19="New build / PPEA","Levy-backed debt + PPEA availability payment + SCAP 10%",IF($L19="Retrofit + state stack","SCAP 20-30% + Literary Fund + levy + guaranteed savings",IF($L19="Retrofit / ESPC","Levy + guaranteed savings + VPSA pooled bond",IF($L19="Blended programme","Levy-backed debt + ESPC on the retained estate","SCAP + Literary Fund + guaranteed savings"))))</f>
        <v>SCAP 20-30% + Literary Fund + levy + guaranteed savings</v>
      </c>
      <c r="N19" s="35">
        <f>IF(OR($L19="Retrofit / ESPC",$L19="Retrofit + state stack"),$B$142,IF($L19="New build / PPEA",$B$144,$B$143))</f>
        <v>1</v>
      </c>
      <c r="O19" s="35">
        <f>IF($D19="On Nov 2026 ballot",$B$145,IF($D19="Levying since 2020-23",$B$147,IF($D19="Deferred, eyeing 2027",$B$148,$B$146)))</f>
        <v>0.55000000000000004</v>
      </c>
      <c r="P19" s="34">
        <f>IF($E19=0,"",($F19/MAX($F$6:$F$138))^0.38*100*$N19*$O19)</f>
        <v>8.7225559191448223</v>
      </c>
      <c r="Q19" s="48" t="str">
        <f>IF($E19=0,"","P"&amp;MIN(4,ROUNDUP(RANK($P19,$P$6:$P$138)/COUNT($P$6:$P$138)*4,0)))</f>
        <v>P3</v>
      </c>
      <c r="R19" s="3" t="str">
        <f>IF($D19="On Nov 2026 ballot","Wave 1 - position before the vote",IF($D19="Deferred, eyeing 2027","Wave 3 - 2027 referendum cycle",IF($D19="Levying since 2020-23","Wave 2 - next phase / displace incumbent","Wave 1 - VERIFY referendum status first")))</f>
        <v>Wave 3 - 2027 referendum cycle</v>
      </c>
      <c r="S19" s="3" t="str">
        <f>IF($L19="Retrofit + state stack","SCAP application support + no-cost condition assessment",IF($L19="Retrofit / ESPC","No-cost facility condition assessment",IF($L19="New build / PPEA","PPEA concept + capital sequencing review",IF($L19="Blended programme","Capital programme structuring review","Targeted HVAC and roof scope review"))))</f>
        <v>SCAP application support + no-cost condition assessment</v>
      </c>
      <c r="T19" s="49"/>
      <c r="U19" s="49"/>
    </row>
    <row r="20" spans="1:21">
      <c r="A20" s="22" t="str">
        <f>'Opportunity Model'!A20</f>
        <v>Buckingham County</v>
      </c>
      <c r="B20" s="22" t="str">
        <f>'Opportunity Model'!B20</f>
        <v>County</v>
      </c>
      <c r="C20" s="3" t="s">
        <v>351</v>
      </c>
      <c r="D20" s="22" t="str">
        <f>'Opportunity Model'!D20</f>
        <v>No public action found</v>
      </c>
      <c r="E20" s="22">
        <f>'Opportunity Model'!E20</f>
        <v>1</v>
      </c>
      <c r="F20" s="23">
        <f>'Opportunity Model'!G20</f>
        <v>38350565.297680184</v>
      </c>
      <c r="G20" s="23">
        <f>'Opportunity Model'!F20</f>
        <v>1376346.0151766785</v>
      </c>
      <c r="H20" s="45">
        <f>'Region Needs Profile'!B13</f>
        <v>-7.3999999999999996E-2</v>
      </c>
      <c r="I20" s="46">
        <f>'Region Needs Profile'!C13</f>
        <v>58</v>
      </c>
      <c r="J20" s="47">
        <f>'Region Needs Profile'!P13</f>
        <v>-87.624466571835001</v>
      </c>
      <c r="K20" s="3" t="str">
        <f>IF($F20&gt;=PERCENTILE($F$6:$F$138,0.75),"High",IF($F20&gt;=PERCENTILE($F$6:$F$138,0.4),"Moderate","Low"))</f>
        <v>Low</v>
      </c>
      <c r="L20" s="3" t="str">
        <f>IF($J20&gt;=40,"New build / PPEA",IF($J20&lt;=-40,IF($K20="Low","Retrofit + state stack","Retrofit / ESPC"),IF($K20="High","Blended programme","Selective retrofit")))</f>
        <v>Retrofit + state stack</v>
      </c>
      <c r="M20" s="3" t="str">
        <f>IF($L20="New build / PPEA","Levy-backed debt + PPEA availability payment + SCAP 10%",IF($L20="Retrofit + state stack","SCAP 20-30% + Literary Fund + levy + guaranteed savings",IF($L20="Retrofit / ESPC","Levy + guaranteed savings + VPSA pooled bond",IF($L20="Blended programme","Levy-backed debt + ESPC on the retained estate","SCAP + Literary Fund + guaranteed savings"))))</f>
        <v>SCAP 20-30% + Literary Fund + levy + guaranteed savings</v>
      </c>
      <c r="N20" s="35">
        <f>IF(OR($L20="Retrofit / ESPC",$L20="Retrofit + state stack"),$B$142,IF($L20="New build / PPEA",$B$144,$B$143))</f>
        <v>1</v>
      </c>
      <c r="O20" s="35">
        <f>IF($D20="On Nov 2026 ballot",$B$145,IF($D20="Levying since 2020-23",$B$147,IF($D20="Deferred, eyeing 2027",$B$148,$B$146)))</f>
        <v>0.8</v>
      </c>
      <c r="P20" s="34">
        <f>IF($E20=0,"",($F20/MAX($F$6:$F$138))^0.38*100*$N20*$O20)</f>
        <v>10.585768675883381</v>
      </c>
      <c r="Q20" s="48" t="str">
        <f>IF($E20=0,"","P"&amp;MIN(4,ROUNDUP(RANK($P20,$P$6:$P$138)/COUNT($P$6:$P$138)*4,0)))</f>
        <v>P3</v>
      </c>
      <c r="R20" s="3" t="str">
        <f>IF($D20="On Nov 2026 ballot","Wave 1 - position before the vote",IF($D20="Deferred, eyeing 2027","Wave 3 - 2027 referendum cycle",IF($D20="Levying since 2020-23","Wave 2 - next phase / displace incumbent","Wave 1 - VERIFY referendum status first")))</f>
        <v>Wave 1 - VERIFY referendum status first</v>
      </c>
      <c r="S20" s="3" t="str">
        <f>IF($L20="Retrofit + state stack","SCAP application support + no-cost condition assessment",IF($L20="Retrofit / ESPC","No-cost facility condition assessment",IF($L20="New build / PPEA","PPEA concept + capital sequencing review",IF($L20="Blended programme","Capital programme structuring review","Targeted HVAC and roof scope review"))))</f>
        <v>SCAP application support + no-cost condition assessment</v>
      </c>
      <c r="T20" s="49"/>
      <c r="U20" s="49"/>
    </row>
    <row r="21" spans="1:21">
      <c r="A21" s="50" t="str">
        <f>'Opportunity Model'!A21</f>
        <v>Campbell County</v>
      </c>
      <c r="B21" s="50" t="str">
        <f>'Opportunity Model'!B21</f>
        <v>County</v>
      </c>
      <c r="C21" s="51" t="s">
        <v>349</v>
      </c>
      <c r="D21" s="50" t="str">
        <f>'Opportunity Model'!D21</f>
        <v>No public action found</v>
      </c>
      <c r="E21" s="50">
        <f>'Opportunity Model'!E21</f>
        <v>1</v>
      </c>
      <c r="F21" s="52">
        <f>'Opportunity Model'!G21</f>
        <v>299248625.77277887</v>
      </c>
      <c r="G21" s="52">
        <f>'Opportunity Model'!F21</f>
        <v>9953323.9858283065</v>
      </c>
      <c r="H21" s="53">
        <f>'Region Needs Profile'!B11</f>
        <v>-6.7799999999999999E-2</v>
      </c>
      <c r="I21" s="54">
        <f>'Region Needs Profile'!C11</f>
        <v>58</v>
      </c>
      <c r="J21" s="55">
        <f>'Region Needs Profile'!P11</f>
        <v>-65.331357599398828</v>
      </c>
      <c r="K21" s="51" t="str">
        <f>IF($F21&gt;=PERCENTILE($F$6:$F$138,0.75),"High",IF($F21&gt;=PERCENTILE($F$6:$F$138,0.4),"Moderate","Low"))</f>
        <v>Moderate</v>
      </c>
      <c r="L21" s="51" t="str">
        <f>IF($J21&gt;=40,"New build / PPEA",IF($J21&lt;=-40,IF($K21="Low","Retrofit + state stack","Retrofit / ESPC"),IF($K21="High","Blended programme","Selective retrofit")))</f>
        <v>Retrofit / ESPC</v>
      </c>
      <c r="M21" s="51" t="str">
        <f>IF($L21="New build / PPEA","Levy-backed debt + PPEA availability payment + SCAP 10%",IF($L21="Retrofit + state stack","SCAP 20-30% + Literary Fund + levy + guaranteed savings",IF($L21="Retrofit / ESPC","Levy + guaranteed savings + VPSA pooled bond",IF($L21="Blended programme","Levy-backed debt + ESPC on the retained estate","SCAP + Literary Fund + guaranteed savings"))))</f>
        <v>Levy + guaranteed savings + VPSA pooled bond</v>
      </c>
      <c r="N21" s="35">
        <f>IF(OR($L21="Retrofit / ESPC",$L21="Retrofit + state stack"),$B$142,IF($L21="New build / PPEA",$B$144,$B$143))</f>
        <v>1</v>
      </c>
      <c r="O21" s="35">
        <f>IF($D21="On Nov 2026 ballot",$B$145,IF($D21="Levying since 2020-23",$B$147,IF($D21="Deferred, eyeing 2027",$B$148,$B$146)))</f>
        <v>0.8</v>
      </c>
      <c r="P21" s="34">
        <f>IF($E21=0,"",($F21/MAX($F$6:$F$138))^0.38*100*$N21*$O21)</f>
        <v>23.10901047268721</v>
      </c>
      <c r="Q21" s="48" t="str">
        <f>IF($E21=0,"","P"&amp;MIN(4,ROUNDUP(RANK($P21,$P$6:$P$138)/COUNT($P$6:$P$138)*4,0)))</f>
        <v>P1</v>
      </c>
      <c r="R21" s="3" t="str">
        <f>IF($D21="On Nov 2026 ballot","Wave 1 - position before the vote",IF($D21="Deferred, eyeing 2027","Wave 3 - 2027 referendum cycle",IF($D21="Levying since 2020-23","Wave 2 - next phase / displace incumbent","Wave 1 - VERIFY referendum status first")))</f>
        <v>Wave 1 - VERIFY referendum status first</v>
      </c>
      <c r="S21" s="3" t="str">
        <f>IF($L21="Retrofit + state stack","SCAP application support + no-cost condition assessment",IF($L21="Retrofit / ESPC","No-cost facility condition assessment",IF($L21="New build / PPEA","PPEA concept + capital sequencing review",IF($L21="Blended programme","Capital programme structuring review","Targeted HVAC and roof scope review"))))</f>
        <v>No-cost facility condition assessment</v>
      </c>
      <c r="T21" s="49"/>
      <c r="U21" s="49"/>
    </row>
    <row r="22" spans="1:21">
      <c r="A22" s="22" t="str">
        <f>'Opportunity Model'!A22</f>
        <v>Caroline County</v>
      </c>
      <c r="B22" s="22" t="str">
        <f>'Opportunity Model'!B22</f>
        <v>County</v>
      </c>
      <c r="C22" s="3" t="s">
        <v>346</v>
      </c>
      <c r="D22" s="22" t="str">
        <f>'Opportunity Model'!D22</f>
        <v>No public action found</v>
      </c>
      <c r="E22" s="22">
        <f>'Opportunity Model'!E22</f>
        <v>1</v>
      </c>
      <c r="F22" s="23">
        <f>'Opportunity Model'!G22</f>
        <v>157739980.40506706</v>
      </c>
      <c r="G22" s="23">
        <f>'Opportunity Model'!F22</f>
        <v>4790807.8666122062</v>
      </c>
      <c r="H22" s="45">
        <f>'Region Needs Profile'!B8</f>
        <v>0.1108</v>
      </c>
      <c r="I22" s="46">
        <f>'Region Needs Profile'!C8</f>
        <v>32</v>
      </c>
      <c r="J22" s="47">
        <f>'Region Needs Profile'!P8</f>
        <v>86.269915651358943</v>
      </c>
      <c r="K22" s="3" t="str">
        <f>IF($F22&gt;=PERCENTILE($F$6:$F$138,0.75),"High",IF($F22&gt;=PERCENTILE($F$6:$F$138,0.4),"Moderate","Low"))</f>
        <v>Moderate</v>
      </c>
      <c r="L22" s="3" t="str">
        <f>IF($J22&gt;=40,"New build / PPEA",IF($J22&lt;=-40,IF($K22="Low","Retrofit + state stack","Retrofit / ESPC"),IF($K22="High","Blended programme","Selective retrofit")))</f>
        <v>New build / PPEA</v>
      </c>
      <c r="M22" s="3" t="str">
        <f>IF($L22="New build / PPEA","Levy-backed debt + PPEA availability payment + SCAP 10%",IF($L22="Retrofit + state stack","SCAP 20-30% + Literary Fund + levy + guaranteed savings",IF($L22="Retrofit / ESPC","Levy + guaranteed savings + VPSA pooled bond",IF($L22="Blended programme","Levy-backed debt + ESPC on the retained estate","SCAP + Literary Fund + guaranteed savings"))))</f>
        <v>Levy-backed debt + PPEA availability payment + SCAP 10%</v>
      </c>
      <c r="N22" s="35">
        <f>IF(OR($L22="Retrofit / ESPC",$L22="Retrofit + state stack"),$B$142,IF($L22="New build / PPEA",$B$144,$B$143))</f>
        <v>0.45</v>
      </c>
      <c r="O22" s="35">
        <f>IF($D22="On Nov 2026 ballot",$B$145,IF($D22="Levying since 2020-23",$B$147,IF($D22="Deferred, eyeing 2027",$B$148,$B$146)))</f>
        <v>0.8</v>
      </c>
      <c r="P22" s="34">
        <f>IF($E22=0,"",($F22/MAX($F$6:$F$138))^0.38*100*$N22*$O22)</f>
        <v>8.1530389658775597</v>
      </c>
      <c r="Q22" s="48" t="str">
        <f>IF($E22=0,"","P"&amp;MIN(4,ROUNDUP(RANK($P22,$P$6:$P$138)/COUNT($P$6:$P$138)*4,0)))</f>
        <v>P4</v>
      </c>
      <c r="R22" s="3" t="str">
        <f>IF($D22="On Nov 2026 ballot","Wave 1 - position before the vote",IF($D22="Deferred, eyeing 2027","Wave 3 - 2027 referendum cycle",IF($D22="Levying since 2020-23","Wave 2 - next phase / displace incumbent","Wave 1 - VERIFY referendum status first")))</f>
        <v>Wave 1 - VERIFY referendum status first</v>
      </c>
      <c r="S22" s="3" t="str">
        <f>IF($L22="Retrofit + state stack","SCAP application support + no-cost condition assessment",IF($L22="Retrofit / ESPC","No-cost facility condition assessment",IF($L22="New build / PPEA","PPEA concept + capital sequencing review",IF($L22="Blended programme","Capital programme structuring review","Targeted HVAC and roof scope review"))))</f>
        <v>PPEA concept + capital sequencing review</v>
      </c>
      <c r="T22" s="49"/>
      <c r="U22" s="49"/>
    </row>
    <row r="23" spans="1:21">
      <c r="A23" s="50" t="str">
        <f>'Opportunity Model'!A23</f>
        <v>Carroll County</v>
      </c>
      <c r="B23" s="50" t="str">
        <f>'Opportunity Model'!B23</f>
        <v>County</v>
      </c>
      <c r="C23" s="51" t="s">
        <v>350</v>
      </c>
      <c r="D23" s="50" t="str">
        <f>'Opportunity Model'!D23</f>
        <v>No public action found</v>
      </c>
      <c r="E23" s="50">
        <f>'Opportunity Model'!E23</f>
        <v>1</v>
      </c>
      <c r="F23" s="52">
        <f>'Opportunity Model'!G23</f>
        <v>102713228.5816727</v>
      </c>
      <c r="G23" s="52">
        <f>'Opportunity Model'!F23</f>
        <v>3566283.0650060098</v>
      </c>
      <c r="H23" s="53">
        <f>'Region Needs Profile'!B12</f>
        <v>-0.10009999999999999</v>
      </c>
      <c r="I23" s="54">
        <f>'Region Needs Profile'!C12</f>
        <v>58</v>
      </c>
      <c r="J23" s="55">
        <f>'Region Needs Profile'!P12</f>
        <v>-93.064667291471423</v>
      </c>
      <c r="K23" s="51" t="str">
        <f>IF($F23&gt;=PERCENTILE($F$6:$F$138,0.75),"High",IF($F23&gt;=PERCENTILE($F$6:$F$138,0.4),"Moderate","Low"))</f>
        <v>Moderate</v>
      </c>
      <c r="L23" s="51" t="str">
        <f>IF($J23&gt;=40,"New build / PPEA",IF($J23&lt;=-40,IF($K23="Low","Retrofit + state stack","Retrofit / ESPC"),IF($K23="High","Blended programme","Selective retrofit")))</f>
        <v>Retrofit / ESPC</v>
      </c>
      <c r="M23" s="51" t="str">
        <f>IF($L23="New build / PPEA","Levy-backed debt + PPEA availability payment + SCAP 10%",IF($L23="Retrofit + state stack","SCAP 20-30% + Literary Fund + levy + guaranteed savings",IF($L23="Retrofit / ESPC","Levy + guaranteed savings + VPSA pooled bond",IF($L23="Blended programme","Levy-backed debt + ESPC on the retained estate","SCAP + Literary Fund + guaranteed savings"))))</f>
        <v>Levy + guaranteed savings + VPSA pooled bond</v>
      </c>
      <c r="N23" s="35">
        <f>IF(OR($L23="Retrofit / ESPC",$L23="Retrofit + state stack"),$B$142,IF($L23="New build / PPEA",$B$144,$B$143))</f>
        <v>1</v>
      </c>
      <c r="O23" s="35">
        <f>IF($D23="On Nov 2026 ballot",$B$145,IF($D23="Levying since 2020-23",$B$147,IF($D23="Deferred, eyeing 2027",$B$148,$B$146)))</f>
        <v>0.8</v>
      </c>
      <c r="P23" s="34">
        <f>IF($E23=0,"",($F23/MAX($F$6:$F$138))^0.38*100*$N23*$O23)</f>
        <v>15.392428731556514</v>
      </c>
      <c r="Q23" s="48" t="str">
        <f>IF($E23=0,"","P"&amp;MIN(4,ROUNDUP(RANK($P23,$P$6:$P$138)/COUNT($P$6:$P$138)*4,0)))</f>
        <v>P2</v>
      </c>
      <c r="R23" s="3" t="str">
        <f>IF($D23="On Nov 2026 ballot","Wave 1 - position before the vote",IF($D23="Deferred, eyeing 2027","Wave 3 - 2027 referendum cycle",IF($D23="Levying since 2020-23","Wave 2 - next phase / displace incumbent","Wave 1 - VERIFY referendum status first")))</f>
        <v>Wave 1 - VERIFY referendum status first</v>
      </c>
      <c r="S23" s="3" t="str">
        <f>IF($L23="Retrofit + state stack","SCAP application support + no-cost condition assessment",IF($L23="Retrofit / ESPC","No-cost facility condition assessment",IF($L23="New build / PPEA","PPEA concept + capital sequencing review",IF($L23="Blended programme","Capital programme structuring review","Targeted HVAC and roof scope review"))))</f>
        <v>No-cost facility condition assessment</v>
      </c>
      <c r="T23" s="49"/>
      <c r="U23" s="49"/>
    </row>
    <row r="24" spans="1:21">
      <c r="A24" s="22" t="str">
        <f>'Opportunity Model'!A24</f>
        <v>Charles City County</v>
      </c>
      <c r="B24" s="22" t="str">
        <f>'Opportunity Model'!B24</f>
        <v>County</v>
      </c>
      <c r="C24" s="3" t="s">
        <v>344</v>
      </c>
      <c r="D24" s="22" t="str">
        <f>'Opportunity Model'!D24</f>
        <v>No public action found</v>
      </c>
      <c r="E24" s="22">
        <f>'Opportunity Model'!E24</f>
        <v>1</v>
      </c>
      <c r="F24" s="23">
        <f>'Opportunity Model'!G24</f>
        <v>49881440.841026306</v>
      </c>
      <c r="G24" s="23">
        <f>'Opportunity Model'!F24</f>
        <v>1641347.6733992693</v>
      </c>
      <c r="H24" s="45">
        <f>'Region Needs Profile'!B6</f>
        <v>5.8400000000000001E-2</v>
      </c>
      <c r="I24" s="46">
        <f>'Region Needs Profile'!C6</f>
        <v>50</v>
      </c>
      <c r="J24" s="47">
        <f>'Region Needs Profile'!P6</f>
        <v>20.904227632388256</v>
      </c>
      <c r="K24" s="3" t="str">
        <f>IF($F24&gt;=PERCENTILE($F$6:$F$138,0.75),"High",IF($F24&gt;=PERCENTILE($F$6:$F$138,0.4),"Moderate","Low"))</f>
        <v>Low</v>
      </c>
      <c r="L24" s="3" t="str">
        <f>IF($J24&gt;=40,"New build / PPEA",IF($J24&lt;=-40,IF($K24="Low","Retrofit + state stack","Retrofit / ESPC"),IF($K24="High","Blended programme","Selective retrofit")))</f>
        <v>Selective retrofit</v>
      </c>
      <c r="M24" s="3" t="str">
        <f>IF($L24="New build / PPEA","Levy-backed debt + PPEA availability payment + SCAP 10%",IF($L24="Retrofit + state stack","SCAP 20-30% + Literary Fund + levy + guaranteed savings",IF($L24="Retrofit / ESPC","Levy + guaranteed savings + VPSA pooled bond",IF($L24="Blended programme","Levy-backed debt + ESPC on the retained estate","SCAP + Literary Fund + guaranteed savings"))))</f>
        <v>SCAP + Literary Fund + guaranteed savings</v>
      </c>
      <c r="N24" s="35">
        <f>IF(OR($L24="Retrofit / ESPC",$L24="Retrofit + state stack"),$B$142,IF($L24="New build / PPEA",$B$144,$B$143))</f>
        <v>0.7</v>
      </c>
      <c r="O24" s="35">
        <f>IF($D24="On Nov 2026 ballot",$B$145,IF($D24="Levying since 2020-23",$B$147,IF($D24="Deferred, eyeing 2027",$B$148,$B$146)))</f>
        <v>0.8</v>
      </c>
      <c r="P24" s="34">
        <f>IF($E24=0,"",($F24/MAX($F$6:$F$138))^0.38*100*$N24*$O24)</f>
        <v>8.188493015480562</v>
      </c>
      <c r="Q24" s="48" t="str">
        <f>IF($E24=0,"","P"&amp;MIN(4,ROUNDUP(RANK($P24,$P$6:$P$138)/COUNT($P$6:$P$138)*4,0)))</f>
        <v>P4</v>
      </c>
      <c r="R24" s="3" t="str">
        <f>IF($D24="On Nov 2026 ballot","Wave 1 - position before the vote",IF($D24="Deferred, eyeing 2027","Wave 3 - 2027 referendum cycle",IF($D24="Levying since 2020-23","Wave 2 - next phase / displace incumbent","Wave 1 - VERIFY referendum status first")))</f>
        <v>Wave 1 - VERIFY referendum status first</v>
      </c>
      <c r="S24" s="3" t="str">
        <f>IF($L24="Retrofit + state stack","SCAP application support + no-cost condition assessment",IF($L24="Retrofit / ESPC","No-cost facility condition assessment",IF($L24="New build / PPEA","PPEA concept + capital sequencing review",IF($L24="Blended programme","Capital programme structuring review","Targeted HVAC and roof scope review"))))</f>
        <v>Targeted HVAC and roof scope review</v>
      </c>
      <c r="T24" s="49"/>
      <c r="U24" s="49"/>
    </row>
    <row r="25" spans="1:21">
      <c r="A25" s="50" t="str">
        <f>'Opportunity Model'!A25</f>
        <v>Charlotte County</v>
      </c>
      <c r="B25" s="50" t="str">
        <f>'Opportunity Model'!B25</f>
        <v>County</v>
      </c>
      <c r="C25" s="51" t="s">
        <v>351</v>
      </c>
      <c r="D25" s="50" t="str">
        <f>'Opportunity Model'!D25</f>
        <v>Levying since 2020-23</v>
      </c>
      <c r="E25" s="50">
        <f>'Opportunity Model'!E25</f>
        <v>1</v>
      </c>
      <c r="F25" s="52">
        <f>'Opportunity Model'!G25</f>
        <v>30261479.629918657</v>
      </c>
      <c r="G25" s="52">
        <f>'Opportunity Model'!F25</f>
        <v>1132192.2085279839</v>
      </c>
      <c r="H25" s="53">
        <f>'Region Needs Profile'!B13</f>
        <v>-7.3999999999999996E-2</v>
      </c>
      <c r="I25" s="54">
        <f>'Region Needs Profile'!C13</f>
        <v>58</v>
      </c>
      <c r="J25" s="55">
        <f>'Region Needs Profile'!P13</f>
        <v>-87.624466571835001</v>
      </c>
      <c r="K25" s="51" t="str">
        <f>IF($F25&gt;=PERCENTILE($F$6:$F$138,0.75),"High",IF($F25&gt;=PERCENTILE($F$6:$F$138,0.4),"Moderate","Low"))</f>
        <v>Low</v>
      </c>
      <c r="L25" s="51" t="str">
        <f>IF($J25&gt;=40,"New build / PPEA",IF($J25&lt;=-40,IF($K25="Low","Retrofit + state stack","Retrofit / ESPC"),IF($K25="High","Blended programme","Selective retrofit")))</f>
        <v>Retrofit + state stack</v>
      </c>
      <c r="M25" s="51" t="str">
        <f>IF($L25="New build / PPEA","Levy-backed debt + PPEA availability payment + SCAP 10%",IF($L25="Retrofit + state stack","SCAP 20-30% + Literary Fund + levy + guaranteed savings",IF($L25="Retrofit / ESPC","Levy + guaranteed savings + VPSA pooled bond",IF($L25="Blended programme","Levy-backed debt + ESPC on the retained estate","SCAP + Literary Fund + guaranteed savings"))))</f>
        <v>SCAP 20-30% + Literary Fund + levy + guaranteed savings</v>
      </c>
      <c r="N25" s="35">
        <f>IF(OR($L25="Retrofit / ESPC",$L25="Retrofit + state stack"),$B$142,IF($L25="New build / PPEA",$B$144,$B$143))</f>
        <v>1</v>
      </c>
      <c r="O25" s="35">
        <f>IF($D25="On Nov 2026 ballot",$B$145,IF($D25="Levying since 2020-23",$B$147,IF($D25="Deferred, eyeing 2027",$B$148,$B$146)))</f>
        <v>0.65</v>
      </c>
      <c r="P25" s="34">
        <f>IF($E25=0,"",($F25/MAX($F$6:$F$138))^0.38*100*$N25*$O25)</f>
        <v>7.8605105852110118</v>
      </c>
      <c r="Q25" s="48" t="str">
        <f>IF($E25=0,"","P"&amp;MIN(4,ROUNDUP(RANK($P25,$P$6:$P$138)/COUNT($P$6:$P$138)*4,0)))</f>
        <v>P4</v>
      </c>
      <c r="R25" s="3" t="str">
        <f>IF($D25="On Nov 2026 ballot","Wave 1 - position before the vote",IF($D25="Deferred, eyeing 2027","Wave 3 - 2027 referendum cycle",IF($D25="Levying since 2020-23","Wave 2 - next phase / displace incumbent","Wave 1 - VERIFY referendum status first")))</f>
        <v>Wave 2 - next phase / displace incumbent</v>
      </c>
      <c r="S25" s="3" t="str">
        <f>IF($L25="Retrofit + state stack","SCAP application support + no-cost condition assessment",IF($L25="Retrofit / ESPC","No-cost facility condition assessment",IF($L25="New build / PPEA","PPEA concept + capital sequencing review",IF($L25="Blended programme","Capital programme structuring review","Targeted HVAC and roof scope review"))))</f>
        <v>SCAP application support + no-cost condition assessment</v>
      </c>
      <c r="T25" s="49"/>
      <c r="U25" s="49"/>
    </row>
    <row r="26" spans="1:21">
      <c r="A26" s="22" t="str">
        <f>'Opportunity Model'!A26</f>
        <v>Chesterfield County</v>
      </c>
      <c r="B26" s="22" t="str">
        <f>'Opportunity Model'!B26</f>
        <v>County</v>
      </c>
      <c r="C26" s="3" t="s">
        <v>344</v>
      </c>
      <c r="D26" s="22" t="str">
        <f>'Opportunity Model'!D26</f>
        <v>On Nov 2026 ballot</v>
      </c>
      <c r="E26" s="22">
        <f>'Opportunity Model'!E26</f>
        <v>1</v>
      </c>
      <c r="F26" s="23">
        <f>'Opportunity Model'!G26</f>
        <v>2780696596.4259176</v>
      </c>
      <c r="G26" s="23">
        <f>'Opportunity Model'!F26</f>
        <v>87966825.602557018</v>
      </c>
      <c r="H26" s="45">
        <f>'Region Needs Profile'!B6</f>
        <v>5.8400000000000001E-2</v>
      </c>
      <c r="I26" s="46">
        <f>'Region Needs Profile'!C6</f>
        <v>50</v>
      </c>
      <c r="J26" s="47">
        <f>'Region Needs Profile'!P6</f>
        <v>20.904227632388256</v>
      </c>
      <c r="K26" s="3" t="str">
        <f>IF($F26&gt;=PERCENTILE($F$6:$F$138,0.75),"High",IF($F26&gt;=PERCENTILE($F$6:$F$138,0.4),"Moderate","Low"))</f>
        <v>High</v>
      </c>
      <c r="L26" s="3" t="str">
        <f>IF($J26&gt;=40,"New build / PPEA",IF($J26&lt;=-40,IF($K26="Low","Retrofit + state stack","Retrofit / ESPC"),IF($K26="High","Blended programme","Selective retrofit")))</f>
        <v>Blended programme</v>
      </c>
      <c r="M26" s="3" t="str">
        <f>IF($L26="New build / PPEA","Levy-backed debt + PPEA availability payment + SCAP 10%",IF($L26="Retrofit + state stack","SCAP 20-30% + Literary Fund + levy + guaranteed savings",IF($L26="Retrofit / ESPC","Levy + guaranteed savings + VPSA pooled bond",IF($L26="Blended programme","Levy-backed debt + ESPC on the retained estate","SCAP + Literary Fund + guaranteed savings"))))</f>
        <v>Levy-backed debt + ESPC on the retained estate</v>
      </c>
      <c r="N26" s="35">
        <f>IF(OR($L26="Retrofit / ESPC",$L26="Retrofit + state stack"),$B$142,IF($L26="New build / PPEA",$B$144,$B$143))</f>
        <v>0.7</v>
      </c>
      <c r="O26" s="35">
        <f>IF($D26="On Nov 2026 ballot",$B$145,IF($D26="Levying since 2020-23",$B$147,IF($D26="Deferred, eyeing 2027",$B$148,$B$146)))</f>
        <v>1</v>
      </c>
      <c r="P26" s="34">
        <f>IF($E26=0,"",($F26/MAX($F$6:$F$138))^0.38*100*$N26*$O26)</f>
        <v>47.171050690511983</v>
      </c>
      <c r="Q26" s="48" t="str">
        <f>IF($E26=0,"","P"&amp;MIN(4,ROUNDUP(RANK($P26,$P$6:$P$138)/COUNT($P$6:$P$138)*4,0)))</f>
        <v>P1</v>
      </c>
      <c r="R26" s="3" t="str">
        <f>IF($D26="On Nov 2026 ballot","Wave 1 - position before the vote",IF($D26="Deferred, eyeing 2027","Wave 3 - 2027 referendum cycle",IF($D26="Levying since 2020-23","Wave 2 - next phase / displace incumbent","Wave 1 - VERIFY referendum status first")))</f>
        <v>Wave 1 - position before the vote</v>
      </c>
      <c r="S26" s="3" t="str">
        <f>IF($L26="Retrofit + state stack","SCAP application support + no-cost condition assessment",IF($L26="Retrofit / ESPC","No-cost facility condition assessment",IF($L26="New build / PPEA","PPEA concept + capital sequencing review",IF($L26="Blended programme","Capital programme structuring review","Targeted HVAC and roof scope review"))))</f>
        <v>Capital programme structuring review</v>
      </c>
      <c r="T26" s="49"/>
      <c r="U26" s="49"/>
    </row>
    <row r="27" spans="1:21">
      <c r="A27" s="50" t="str">
        <f>'Opportunity Model'!A27</f>
        <v>Clarke County</v>
      </c>
      <c r="B27" s="50" t="str">
        <f>'Opportunity Model'!B27</f>
        <v>County</v>
      </c>
      <c r="C27" s="51" t="s">
        <v>347</v>
      </c>
      <c r="D27" s="50" t="str">
        <f>'Opportunity Model'!D27</f>
        <v>No public action found</v>
      </c>
      <c r="E27" s="50">
        <f>'Opportunity Model'!E27</f>
        <v>1</v>
      </c>
      <c r="F27" s="52">
        <f>'Opportunity Model'!G27</f>
        <v>72024099.985372305</v>
      </c>
      <c r="G27" s="52">
        <f>'Opportunity Model'!F27</f>
        <v>2322500.6431678818</v>
      </c>
      <c r="H27" s="53">
        <f>'Region Needs Profile'!B9</f>
        <v>7.9399999999999998E-2</v>
      </c>
      <c r="I27" s="54">
        <f>'Region Needs Profile'!C9</f>
        <v>48</v>
      </c>
      <c r="J27" s="55">
        <f>'Region Needs Profile'!P9</f>
        <v>54.342196447459614</v>
      </c>
      <c r="K27" s="51" t="str">
        <f>IF($F27&gt;=PERCENTILE($F$6:$F$138,0.75),"High",IF($F27&gt;=PERCENTILE($F$6:$F$138,0.4),"Moderate","Low"))</f>
        <v>Low</v>
      </c>
      <c r="L27" s="51" t="str">
        <f>IF($J27&gt;=40,"New build / PPEA",IF($J27&lt;=-40,IF($K27="Low","Retrofit + state stack","Retrofit / ESPC"),IF($K27="High","Blended programme","Selective retrofit")))</f>
        <v>New build / PPEA</v>
      </c>
      <c r="M27" s="51" t="str">
        <f>IF($L27="New build / PPEA","Levy-backed debt + PPEA availability payment + SCAP 10%",IF($L27="Retrofit + state stack","SCAP 20-30% + Literary Fund + levy + guaranteed savings",IF($L27="Retrofit / ESPC","Levy + guaranteed savings + VPSA pooled bond",IF($L27="Blended programme","Levy-backed debt + ESPC on the retained estate","SCAP + Literary Fund + guaranteed savings"))))</f>
        <v>Levy-backed debt + PPEA availability payment + SCAP 10%</v>
      </c>
      <c r="N27" s="35">
        <f>IF(OR($L27="Retrofit / ESPC",$L27="Retrofit + state stack"),$B$142,IF($L27="New build / PPEA",$B$144,$B$143))</f>
        <v>0.45</v>
      </c>
      <c r="O27" s="35">
        <f>IF($D27="On Nov 2026 ballot",$B$145,IF($D27="Levying since 2020-23",$B$147,IF($D27="Deferred, eyeing 2027",$B$148,$B$146)))</f>
        <v>0.8</v>
      </c>
      <c r="P27" s="34">
        <f>IF($E27=0,"",($F27/MAX($F$6:$F$138))^0.38*100*$N27*$O27)</f>
        <v>6.0526173691371037</v>
      </c>
      <c r="Q27" s="48" t="str">
        <f>IF($E27=0,"","P"&amp;MIN(4,ROUNDUP(RANK($P27,$P$6:$P$138)/COUNT($P$6:$P$138)*4,0)))</f>
        <v>P4</v>
      </c>
      <c r="R27" s="3" t="str">
        <f>IF($D27="On Nov 2026 ballot","Wave 1 - position before the vote",IF($D27="Deferred, eyeing 2027","Wave 3 - 2027 referendum cycle",IF($D27="Levying since 2020-23","Wave 2 - next phase / displace incumbent","Wave 1 - VERIFY referendum status first")))</f>
        <v>Wave 1 - VERIFY referendum status first</v>
      </c>
      <c r="S27" s="3" t="str">
        <f>IF($L27="Retrofit + state stack","SCAP application support + no-cost condition assessment",IF($L27="Retrofit / ESPC","No-cost facility condition assessment",IF($L27="New build / PPEA","PPEA concept + capital sequencing review",IF($L27="Blended programme","Capital programme structuring review","Targeted HVAC and roof scope review"))))</f>
        <v>PPEA concept + capital sequencing review</v>
      </c>
      <c r="T27" s="49"/>
      <c r="U27" s="49"/>
    </row>
    <row r="28" spans="1:21">
      <c r="A28" s="22" t="str">
        <f>'Opportunity Model'!A28</f>
        <v>Craig County</v>
      </c>
      <c r="B28" s="22" t="str">
        <f>'Opportunity Model'!B28</f>
        <v>County</v>
      </c>
      <c r="C28" s="3" t="s">
        <v>350</v>
      </c>
      <c r="D28" s="22" t="str">
        <f>'Opportunity Model'!D28</f>
        <v>No public action found</v>
      </c>
      <c r="E28" s="22">
        <f>'Opportunity Model'!E28</f>
        <v>1</v>
      </c>
      <c r="F28" s="23">
        <f>'Opportunity Model'!G28</f>
        <v>9330012.0510290079</v>
      </c>
      <c r="G28" s="23">
        <f>'Opportunity Model'!F28</f>
        <v>343384.14164355013</v>
      </c>
      <c r="H28" s="45">
        <f>'Region Needs Profile'!B12</f>
        <v>-0.10009999999999999</v>
      </c>
      <c r="I28" s="46">
        <f>'Region Needs Profile'!C12</f>
        <v>58</v>
      </c>
      <c r="J28" s="47">
        <f>'Region Needs Profile'!P12</f>
        <v>-93.064667291471423</v>
      </c>
      <c r="K28" s="3" t="str">
        <f>IF($F28&gt;=PERCENTILE($F$6:$F$138,0.75),"High",IF($F28&gt;=PERCENTILE($F$6:$F$138,0.4),"Moderate","Low"))</f>
        <v>Low</v>
      </c>
      <c r="L28" s="3" t="str">
        <f>IF($J28&gt;=40,"New build / PPEA",IF($J28&lt;=-40,IF($K28="Low","Retrofit + state stack","Retrofit / ESPC"),IF($K28="High","Blended programme","Selective retrofit")))</f>
        <v>Retrofit + state stack</v>
      </c>
      <c r="M28" s="3" t="str">
        <f>IF($L28="New build / PPEA","Levy-backed debt + PPEA availability payment + SCAP 10%",IF($L28="Retrofit + state stack","SCAP 20-30% + Literary Fund + levy + guaranteed savings",IF($L28="Retrofit / ESPC","Levy + guaranteed savings + VPSA pooled bond",IF($L28="Blended programme","Levy-backed debt + ESPC on the retained estate","SCAP + Literary Fund + guaranteed savings"))))</f>
        <v>SCAP 20-30% + Literary Fund + levy + guaranteed savings</v>
      </c>
      <c r="N28" s="35">
        <f>IF(OR($L28="Retrofit / ESPC",$L28="Retrofit + state stack"),$B$142,IF($L28="New build / PPEA",$B$144,$B$143))</f>
        <v>1</v>
      </c>
      <c r="O28" s="35">
        <f>IF($D28="On Nov 2026 ballot",$B$145,IF($D28="Levying since 2020-23",$B$147,IF($D28="Deferred, eyeing 2027",$B$148,$B$146)))</f>
        <v>0.8</v>
      </c>
      <c r="P28" s="34">
        <f>IF($E28=0,"",($F28/MAX($F$6:$F$138))^0.38*100*$N28*$O28)</f>
        <v>6.18649070288508</v>
      </c>
      <c r="Q28" s="48" t="str">
        <f>IF($E28=0,"","P"&amp;MIN(4,ROUNDUP(RANK($P28,$P$6:$P$138)/COUNT($P$6:$P$138)*4,0)))</f>
        <v>P4</v>
      </c>
      <c r="R28" s="3" t="str">
        <f>IF($D28="On Nov 2026 ballot","Wave 1 - position before the vote",IF($D28="Deferred, eyeing 2027","Wave 3 - 2027 referendum cycle",IF($D28="Levying since 2020-23","Wave 2 - next phase / displace incumbent","Wave 1 - VERIFY referendum status first")))</f>
        <v>Wave 1 - VERIFY referendum status first</v>
      </c>
      <c r="S28" s="3" t="str">
        <f>IF($L28="Retrofit + state stack","SCAP application support + no-cost condition assessment",IF($L28="Retrofit / ESPC","No-cost facility condition assessment",IF($L28="New build / PPEA","PPEA concept + capital sequencing review",IF($L28="Blended programme","Capital programme structuring review","Targeted HVAC and roof scope review"))))</f>
        <v>SCAP application support + no-cost condition assessment</v>
      </c>
      <c r="T28" s="49"/>
      <c r="U28" s="49"/>
    </row>
    <row r="29" spans="1:21">
      <c r="A29" s="50" t="str">
        <f>'Opportunity Model'!A29</f>
        <v>Culpeper County</v>
      </c>
      <c r="B29" s="50" t="str">
        <f>'Opportunity Model'!B29</f>
        <v>County</v>
      </c>
      <c r="C29" s="51" t="s">
        <v>347</v>
      </c>
      <c r="D29" s="50" t="str">
        <f>'Opportunity Model'!D29</f>
        <v>No public action found</v>
      </c>
      <c r="E29" s="50">
        <f>'Opportunity Model'!E29</f>
        <v>1</v>
      </c>
      <c r="F29" s="52">
        <f>'Opportunity Model'!G29</f>
        <v>413908523.98936909</v>
      </c>
      <c r="G29" s="52">
        <f>'Opportunity Model'!F29</f>
        <v>13458091.771918008</v>
      </c>
      <c r="H29" s="53">
        <f>'Region Needs Profile'!B9</f>
        <v>7.9399999999999998E-2</v>
      </c>
      <c r="I29" s="54">
        <f>'Region Needs Profile'!C9</f>
        <v>48</v>
      </c>
      <c r="J29" s="55">
        <f>'Region Needs Profile'!P9</f>
        <v>54.342196447459614</v>
      </c>
      <c r="K29" s="51" t="str">
        <f>IF($F29&gt;=PERCENTILE($F$6:$F$138,0.75),"High",IF($F29&gt;=PERCENTILE($F$6:$F$138,0.4),"Moderate","Low"))</f>
        <v>Moderate</v>
      </c>
      <c r="L29" s="51" t="str">
        <f>IF($J29&gt;=40,"New build / PPEA",IF($J29&lt;=-40,IF($K29="Low","Retrofit + state stack","Retrofit / ESPC"),IF($K29="High","Blended programme","Selective retrofit")))</f>
        <v>New build / PPEA</v>
      </c>
      <c r="M29" s="51" t="str">
        <f>IF($L29="New build / PPEA","Levy-backed debt + PPEA availability payment + SCAP 10%",IF($L29="Retrofit + state stack","SCAP 20-30% + Literary Fund + levy + guaranteed savings",IF($L29="Retrofit / ESPC","Levy + guaranteed savings + VPSA pooled bond",IF($L29="Blended programme","Levy-backed debt + ESPC on the retained estate","SCAP + Literary Fund + guaranteed savings"))))</f>
        <v>Levy-backed debt + PPEA availability payment + SCAP 10%</v>
      </c>
      <c r="N29" s="35">
        <f>IF(OR($L29="Retrofit / ESPC",$L29="Retrofit + state stack"),$B$142,IF($L29="New build / PPEA",$B$144,$B$143))</f>
        <v>0.45</v>
      </c>
      <c r="O29" s="35">
        <f>IF($D29="On Nov 2026 ballot",$B$145,IF($D29="Levying since 2020-23",$B$147,IF($D29="Deferred, eyeing 2027",$B$148,$B$146)))</f>
        <v>0.8</v>
      </c>
      <c r="P29" s="34">
        <f>IF($E29=0,"",($F29/MAX($F$6:$F$138))^0.38*100*$N29*$O29)</f>
        <v>11.763195131971573</v>
      </c>
      <c r="Q29" s="48" t="str">
        <f>IF($E29=0,"","P"&amp;MIN(4,ROUNDUP(RANK($P29,$P$6:$P$138)/COUNT($P$6:$P$138)*4,0)))</f>
        <v>P3</v>
      </c>
      <c r="R29" s="3" t="str">
        <f>IF($D29="On Nov 2026 ballot","Wave 1 - position before the vote",IF($D29="Deferred, eyeing 2027","Wave 3 - 2027 referendum cycle",IF($D29="Levying since 2020-23","Wave 2 - next phase / displace incumbent","Wave 1 - VERIFY referendum status first")))</f>
        <v>Wave 1 - VERIFY referendum status first</v>
      </c>
      <c r="S29" s="3" t="str">
        <f>IF($L29="Retrofit + state stack","SCAP application support + no-cost condition assessment",IF($L29="Retrofit / ESPC","No-cost facility condition assessment",IF($L29="New build / PPEA","PPEA concept + capital sequencing review",IF($L29="Blended programme","Capital programme structuring review","Targeted HVAC and roof scope review"))))</f>
        <v>PPEA concept + capital sequencing review</v>
      </c>
      <c r="T29" s="49"/>
      <c r="U29" s="49"/>
    </row>
    <row r="30" spans="1:21">
      <c r="A30" s="22" t="str">
        <f>'Opportunity Model'!A30</f>
        <v>Cumberland County</v>
      </c>
      <c r="B30" s="22" t="str">
        <f>'Opportunity Model'!B30</f>
        <v>County</v>
      </c>
      <c r="C30" s="3" t="s">
        <v>351</v>
      </c>
      <c r="D30" s="22" t="str">
        <f>'Opportunity Model'!D30</f>
        <v>No public action found</v>
      </c>
      <c r="E30" s="22">
        <f>'Opportunity Model'!E30</f>
        <v>1</v>
      </c>
      <c r="F30" s="23">
        <f>'Opportunity Model'!G30</f>
        <v>24998930.59730358</v>
      </c>
      <c r="G30" s="23">
        <f>'Opportunity Model'!F30</f>
        <v>881824.51716554735</v>
      </c>
      <c r="H30" s="45">
        <f>'Region Needs Profile'!B13</f>
        <v>-7.3999999999999996E-2</v>
      </c>
      <c r="I30" s="46">
        <f>'Region Needs Profile'!C13</f>
        <v>58</v>
      </c>
      <c r="J30" s="47">
        <f>'Region Needs Profile'!P13</f>
        <v>-87.624466571835001</v>
      </c>
      <c r="K30" s="3" t="str">
        <f>IF($F30&gt;=PERCENTILE($F$6:$F$138,0.75),"High",IF($F30&gt;=PERCENTILE($F$6:$F$138,0.4),"Moderate","Low"))</f>
        <v>Low</v>
      </c>
      <c r="L30" s="3" t="str">
        <f>IF($J30&gt;=40,"New build / PPEA",IF($J30&lt;=-40,IF($K30="Low","Retrofit + state stack","Retrofit / ESPC"),IF($K30="High","Blended programme","Selective retrofit")))</f>
        <v>Retrofit + state stack</v>
      </c>
      <c r="M30" s="3" t="str">
        <f>IF($L30="New build / PPEA","Levy-backed debt + PPEA availability payment + SCAP 10%",IF($L30="Retrofit + state stack","SCAP 20-30% + Literary Fund + levy + guaranteed savings",IF($L30="Retrofit / ESPC","Levy + guaranteed savings + VPSA pooled bond",IF($L30="Blended programme","Levy-backed debt + ESPC on the retained estate","SCAP + Literary Fund + guaranteed savings"))))</f>
        <v>SCAP 20-30% + Literary Fund + levy + guaranteed savings</v>
      </c>
      <c r="N30" s="35">
        <f>IF(OR($L30="Retrofit / ESPC",$L30="Retrofit + state stack"),$B$142,IF($L30="New build / PPEA",$B$144,$B$143))</f>
        <v>1</v>
      </c>
      <c r="O30" s="35">
        <f>IF($D30="On Nov 2026 ballot",$B$145,IF($D30="Levying since 2020-23",$B$147,IF($D30="Deferred, eyeing 2027",$B$148,$B$146)))</f>
        <v>0.8</v>
      </c>
      <c r="P30" s="34">
        <f>IF($E30=0,"",($F30/MAX($F$6:$F$138))^0.38*100*$N30*$O30)</f>
        <v>8.9970321116063339</v>
      </c>
      <c r="Q30" s="48" t="str">
        <f>IF($E30=0,"","P"&amp;MIN(4,ROUNDUP(RANK($P30,$P$6:$P$138)/COUNT($P$6:$P$138)*4,0)))</f>
        <v>P3</v>
      </c>
      <c r="R30" s="3" t="str">
        <f>IF($D30="On Nov 2026 ballot","Wave 1 - position before the vote",IF($D30="Deferred, eyeing 2027","Wave 3 - 2027 referendum cycle",IF($D30="Levying since 2020-23","Wave 2 - next phase / displace incumbent","Wave 1 - VERIFY referendum status first")))</f>
        <v>Wave 1 - VERIFY referendum status first</v>
      </c>
      <c r="S30" s="3" t="str">
        <f>IF($L30="Retrofit + state stack","SCAP application support + no-cost condition assessment",IF($L30="Retrofit / ESPC","No-cost facility condition assessment",IF($L30="New build / PPEA","PPEA concept + capital sequencing review",IF($L30="Blended programme","Capital programme structuring review","Targeted HVAC and roof scope review"))))</f>
        <v>SCAP application support + no-cost condition assessment</v>
      </c>
      <c r="T30" s="49"/>
      <c r="U30" s="49"/>
    </row>
    <row r="31" spans="1:21">
      <c r="A31" s="50" t="str">
        <f>'Opportunity Model'!A31</f>
        <v>Dickenson County</v>
      </c>
      <c r="B31" s="50" t="str">
        <f>'Opportunity Model'!B31</f>
        <v>County</v>
      </c>
      <c r="C31" s="51" t="s">
        <v>350</v>
      </c>
      <c r="D31" s="50" t="str">
        <f>'Opportunity Model'!D31</f>
        <v>Deferred, eyeing 2027</v>
      </c>
      <c r="E31" s="50">
        <f>'Opportunity Model'!E31</f>
        <v>1</v>
      </c>
      <c r="F31" s="52">
        <f>'Opportunity Model'!G31</f>
        <v>33000877.418402605</v>
      </c>
      <c r="G31" s="52">
        <f>'Opportunity Model'!F31</f>
        <v>1207586.0111832968</v>
      </c>
      <c r="H31" s="53">
        <f>'Region Needs Profile'!B12</f>
        <v>-0.10009999999999999</v>
      </c>
      <c r="I31" s="54">
        <f>'Region Needs Profile'!C12</f>
        <v>58</v>
      </c>
      <c r="J31" s="55">
        <f>'Region Needs Profile'!P12</f>
        <v>-93.064667291471423</v>
      </c>
      <c r="K31" s="51" t="str">
        <f>IF($F31&gt;=PERCENTILE($F$6:$F$138,0.75),"High",IF($F31&gt;=PERCENTILE($F$6:$F$138,0.4),"Moderate","Low"))</f>
        <v>Low</v>
      </c>
      <c r="L31" s="51" t="str">
        <f>IF($J31&gt;=40,"New build / PPEA",IF($J31&lt;=-40,IF($K31="Low","Retrofit + state stack","Retrofit / ESPC"),IF($K31="High","Blended programme","Selective retrofit")))</f>
        <v>Retrofit + state stack</v>
      </c>
      <c r="M31" s="51" t="str">
        <f>IF($L31="New build / PPEA","Levy-backed debt + PPEA availability payment + SCAP 10%",IF($L31="Retrofit + state stack","SCAP 20-30% + Literary Fund + levy + guaranteed savings",IF($L31="Retrofit / ESPC","Levy + guaranteed savings + VPSA pooled bond",IF($L31="Blended programme","Levy-backed debt + ESPC on the retained estate","SCAP + Literary Fund + guaranteed savings"))))</f>
        <v>SCAP 20-30% + Literary Fund + levy + guaranteed savings</v>
      </c>
      <c r="N31" s="35">
        <f>IF(OR($L31="Retrofit / ESPC",$L31="Retrofit + state stack"),$B$142,IF($L31="New build / PPEA",$B$144,$B$143))</f>
        <v>1</v>
      </c>
      <c r="O31" s="35">
        <f>IF($D31="On Nov 2026 ballot",$B$145,IF($D31="Levying since 2020-23",$B$147,IF($D31="Deferred, eyeing 2027",$B$148,$B$146)))</f>
        <v>0.55000000000000004</v>
      </c>
      <c r="P31" s="34">
        <f>IF($E31=0,"",($F31/MAX($F$6:$F$138))^0.38*100*$N31*$O31)</f>
        <v>6.8738731645491535</v>
      </c>
      <c r="Q31" s="48" t="str">
        <f>IF($E31=0,"","P"&amp;MIN(4,ROUNDUP(RANK($P31,$P$6:$P$138)/COUNT($P$6:$P$138)*4,0)))</f>
        <v>P4</v>
      </c>
      <c r="R31" s="3" t="str">
        <f>IF($D31="On Nov 2026 ballot","Wave 1 - position before the vote",IF($D31="Deferred, eyeing 2027","Wave 3 - 2027 referendum cycle",IF($D31="Levying since 2020-23","Wave 2 - next phase / displace incumbent","Wave 1 - VERIFY referendum status first")))</f>
        <v>Wave 3 - 2027 referendum cycle</v>
      </c>
      <c r="S31" s="3" t="str">
        <f>IF($L31="Retrofit + state stack","SCAP application support + no-cost condition assessment",IF($L31="Retrofit / ESPC","No-cost facility condition assessment",IF($L31="New build / PPEA","PPEA concept + capital sequencing review",IF($L31="Blended programme","Capital programme structuring review","Targeted HVAC and roof scope review"))))</f>
        <v>SCAP application support + no-cost condition assessment</v>
      </c>
      <c r="T31" s="49"/>
      <c r="U31" s="49"/>
    </row>
    <row r="32" spans="1:21">
      <c r="A32" s="22" t="str">
        <f>'Opportunity Model'!A32</f>
        <v>Dinwiddie County</v>
      </c>
      <c r="B32" s="22" t="str">
        <f>'Opportunity Model'!B32</f>
        <v>County</v>
      </c>
      <c r="C32" s="3" t="s">
        <v>351</v>
      </c>
      <c r="D32" s="22" t="str">
        <f>'Opportunity Model'!D32</f>
        <v>No public action found</v>
      </c>
      <c r="E32" s="22">
        <f>'Opportunity Model'!E32</f>
        <v>1</v>
      </c>
      <c r="F32" s="23">
        <f>'Opportunity Model'!G32</f>
        <v>124841122.60307983</v>
      </c>
      <c r="G32" s="23">
        <f>'Opportunity Model'!F32</f>
        <v>3951951.3602861278</v>
      </c>
      <c r="H32" s="45">
        <f>'Region Needs Profile'!B13</f>
        <v>-7.3999999999999996E-2</v>
      </c>
      <c r="I32" s="46">
        <f>'Region Needs Profile'!C13</f>
        <v>58</v>
      </c>
      <c r="J32" s="47">
        <f>'Region Needs Profile'!P13</f>
        <v>-87.624466571835001</v>
      </c>
      <c r="K32" s="3" t="str">
        <f>IF($F32&gt;=PERCENTILE($F$6:$F$138,0.75),"High",IF($F32&gt;=PERCENTILE($F$6:$F$138,0.4),"Moderate","Low"))</f>
        <v>Moderate</v>
      </c>
      <c r="L32" s="3" t="str">
        <f>IF($J32&gt;=40,"New build / PPEA",IF($J32&lt;=-40,IF($K32="Low","Retrofit + state stack","Retrofit / ESPC"),IF($K32="High","Blended programme","Selective retrofit")))</f>
        <v>Retrofit / ESPC</v>
      </c>
      <c r="M32" s="3" t="str">
        <f>IF($L32="New build / PPEA","Levy-backed debt + PPEA availability payment + SCAP 10%",IF($L32="Retrofit + state stack","SCAP 20-30% + Literary Fund + levy + guaranteed savings",IF($L32="Retrofit / ESPC","Levy + guaranteed savings + VPSA pooled bond",IF($L32="Blended programme","Levy-backed debt + ESPC on the retained estate","SCAP + Literary Fund + guaranteed savings"))))</f>
        <v>Levy + guaranteed savings + VPSA pooled bond</v>
      </c>
      <c r="N32" s="35">
        <f>IF(OR($L32="Retrofit / ESPC",$L32="Retrofit + state stack"),$B$142,IF($L32="New build / PPEA",$B$144,$B$143))</f>
        <v>1</v>
      </c>
      <c r="O32" s="35">
        <f>IF($D32="On Nov 2026 ballot",$B$145,IF($D32="Levying since 2020-23",$B$147,IF($D32="Deferred, eyeing 2027",$B$148,$B$146)))</f>
        <v>0.8</v>
      </c>
      <c r="P32" s="34">
        <f>IF($E32=0,"",($F32/MAX($F$6:$F$138))^0.38*100*$N32*$O32)</f>
        <v>16.57696572933326</v>
      </c>
      <c r="Q32" s="48" t="str">
        <f>IF($E32=0,"","P"&amp;MIN(4,ROUNDUP(RANK($P32,$P$6:$P$138)/COUNT($P$6:$P$138)*4,0)))</f>
        <v>P2</v>
      </c>
      <c r="R32" s="3" t="str">
        <f>IF($D32="On Nov 2026 ballot","Wave 1 - position before the vote",IF($D32="Deferred, eyeing 2027","Wave 3 - 2027 referendum cycle",IF($D32="Levying since 2020-23","Wave 2 - next phase / displace incumbent","Wave 1 - VERIFY referendum status first")))</f>
        <v>Wave 1 - VERIFY referendum status first</v>
      </c>
      <c r="S32" s="3" t="str">
        <f>IF($L32="Retrofit + state stack","SCAP application support + no-cost condition assessment",IF($L32="Retrofit / ESPC","No-cost facility condition assessment",IF($L32="New build / PPEA","PPEA concept + capital sequencing review",IF($L32="Blended programme","Capital programme structuring review","Targeted HVAC and roof scope review"))))</f>
        <v>No-cost facility condition assessment</v>
      </c>
      <c r="T32" s="49"/>
      <c r="U32" s="49"/>
    </row>
    <row r="33" spans="1:21">
      <c r="A33" s="50" t="str">
        <f>'Opportunity Model'!A33</f>
        <v>Essex County</v>
      </c>
      <c r="B33" s="50" t="str">
        <f>'Opportunity Model'!B33</f>
        <v>County</v>
      </c>
      <c r="C33" s="51" t="s">
        <v>346</v>
      </c>
      <c r="D33" s="50" t="str">
        <f>'Opportunity Model'!D33</f>
        <v>On Nov 2026 ballot</v>
      </c>
      <c r="E33" s="50">
        <f>'Opportunity Model'!E33</f>
        <v>1</v>
      </c>
      <c r="F33" s="52">
        <f>'Opportunity Model'!G33</f>
        <v>90678494.101902306</v>
      </c>
      <c r="G33" s="52">
        <f>'Opportunity Model'!F33</f>
        <v>3150819.8494800027</v>
      </c>
      <c r="H33" s="53">
        <f>'Region Needs Profile'!B8</f>
        <v>0.1108</v>
      </c>
      <c r="I33" s="54">
        <f>'Region Needs Profile'!C8</f>
        <v>32</v>
      </c>
      <c r="J33" s="55">
        <f>'Region Needs Profile'!P8</f>
        <v>86.269915651358943</v>
      </c>
      <c r="K33" s="51" t="str">
        <f>IF($F33&gt;=PERCENTILE($F$6:$F$138,0.75),"High",IF($F33&gt;=PERCENTILE($F$6:$F$138,0.4),"Moderate","Low"))</f>
        <v>Low</v>
      </c>
      <c r="L33" s="51" t="str">
        <f>IF($J33&gt;=40,"New build / PPEA",IF($J33&lt;=-40,IF($K33="Low","Retrofit + state stack","Retrofit / ESPC"),IF($K33="High","Blended programme","Selective retrofit")))</f>
        <v>New build / PPEA</v>
      </c>
      <c r="M33" s="51" t="str">
        <f>IF($L33="New build / PPEA","Levy-backed debt + PPEA availability payment + SCAP 10%",IF($L33="Retrofit + state stack","SCAP 20-30% + Literary Fund + levy + guaranteed savings",IF($L33="Retrofit / ESPC","Levy + guaranteed savings + VPSA pooled bond",IF($L33="Blended programme","Levy-backed debt + ESPC on the retained estate","SCAP + Literary Fund + guaranteed savings"))))</f>
        <v>Levy-backed debt + PPEA availability payment + SCAP 10%</v>
      </c>
      <c r="N33" s="35">
        <f>IF(OR($L33="Retrofit / ESPC",$L33="Retrofit + state stack"),$B$142,IF($L33="New build / PPEA",$B$144,$B$143))</f>
        <v>0.45</v>
      </c>
      <c r="O33" s="35">
        <f>IF($D33="On Nov 2026 ballot",$B$145,IF($D33="Levying since 2020-23",$B$147,IF($D33="Deferred, eyeing 2027",$B$148,$B$146)))</f>
        <v>1</v>
      </c>
      <c r="P33" s="34">
        <f>IF($E33=0,"",($F33/MAX($F$6:$F$138))^0.38*100*$N33*$O33)</f>
        <v>8.2577795982405604</v>
      </c>
      <c r="Q33" s="48" t="str">
        <f>IF($E33=0,"","P"&amp;MIN(4,ROUNDUP(RANK($P33,$P$6:$P$138)/COUNT($P$6:$P$138)*4,0)))</f>
        <v>P4</v>
      </c>
      <c r="R33" s="3" t="str">
        <f>IF($D33="On Nov 2026 ballot","Wave 1 - position before the vote",IF($D33="Deferred, eyeing 2027","Wave 3 - 2027 referendum cycle",IF($D33="Levying since 2020-23","Wave 2 - next phase / displace incumbent","Wave 1 - VERIFY referendum status first")))</f>
        <v>Wave 1 - position before the vote</v>
      </c>
      <c r="S33" s="3" t="str">
        <f>IF($L33="Retrofit + state stack","SCAP application support + no-cost condition assessment",IF($L33="Retrofit / ESPC","No-cost facility condition assessment",IF($L33="New build / PPEA","PPEA concept + capital sequencing review",IF($L33="Blended programme","Capital programme structuring review","Targeted HVAC and roof scope review"))))</f>
        <v>PPEA concept + capital sequencing review</v>
      </c>
      <c r="T33" s="49"/>
      <c r="U33" s="49"/>
    </row>
    <row r="34" spans="1:21">
      <c r="A34" s="22" t="str">
        <f>'Opportunity Model'!A34</f>
        <v>Fairfax County</v>
      </c>
      <c r="B34" s="22" t="str">
        <f>'Opportunity Model'!B34</f>
        <v>County</v>
      </c>
      <c r="C34" s="3" t="s">
        <v>347</v>
      </c>
      <c r="D34" s="22" t="str">
        <f>'Opportunity Model'!D34</f>
        <v>No public action found</v>
      </c>
      <c r="E34" s="22">
        <f>'Opportunity Model'!E34</f>
        <v>1</v>
      </c>
      <c r="F34" s="23">
        <f>'Opportunity Model'!G34</f>
        <v>7857156824.6745338</v>
      </c>
      <c r="G34" s="23">
        <f>'Opportunity Model'!F34</f>
        <v>275274942.33610231</v>
      </c>
      <c r="H34" s="45">
        <f>'Region Needs Profile'!B9</f>
        <v>7.9399999999999998E-2</v>
      </c>
      <c r="I34" s="46">
        <f>'Region Needs Profile'!C9</f>
        <v>48</v>
      </c>
      <c r="J34" s="47">
        <f>'Region Needs Profile'!P9</f>
        <v>54.342196447459614</v>
      </c>
      <c r="K34" s="3" t="str">
        <f>IF($F34&gt;=PERCENTILE($F$6:$F$138,0.75),"High",IF($F34&gt;=PERCENTILE($F$6:$F$138,0.4),"Moderate","Low"))</f>
        <v>High</v>
      </c>
      <c r="L34" s="3" t="str">
        <f>IF($J34&gt;=40,"New build / PPEA",IF($J34&lt;=-40,IF($K34="Low","Retrofit + state stack","Retrofit / ESPC"),IF($K34="High","Blended programme","Selective retrofit")))</f>
        <v>New build / PPEA</v>
      </c>
      <c r="M34" s="3" t="str">
        <f>IF($L34="New build / PPEA","Levy-backed debt + PPEA availability payment + SCAP 10%",IF($L34="Retrofit + state stack","SCAP 20-30% + Literary Fund + levy + guaranteed savings",IF($L34="Retrofit / ESPC","Levy + guaranteed savings + VPSA pooled bond",IF($L34="Blended programme","Levy-backed debt + ESPC on the retained estate","SCAP + Literary Fund + guaranteed savings"))))</f>
        <v>Levy-backed debt + PPEA availability payment + SCAP 10%</v>
      </c>
      <c r="N34" s="35">
        <f>IF(OR($L34="Retrofit / ESPC",$L34="Retrofit + state stack"),$B$142,IF($L34="New build / PPEA",$B$144,$B$143))</f>
        <v>0.45</v>
      </c>
      <c r="O34" s="35">
        <f>IF($D34="On Nov 2026 ballot",$B$145,IF($D34="Levying since 2020-23",$B$147,IF($D34="Deferred, eyeing 2027",$B$148,$B$146)))</f>
        <v>0.8</v>
      </c>
      <c r="P34" s="34">
        <f>IF($E34=0,"",($F34/MAX($F$6:$F$138))^0.38*100*$N34*$O34)</f>
        <v>36</v>
      </c>
      <c r="Q34" s="48" t="str">
        <f>IF($E34=0,"","P"&amp;MIN(4,ROUNDUP(RANK($P34,$P$6:$P$138)/COUNT($P$6:$P$138)*4,0)))</f>
        <v>P1</v>
      </c>
      <c r="R34" s="3" t="str">
        <f>IF($D34="On Nov 2026 ballot","Wave 1 - position before the vote",IF($D34="Deferred, eyeing 2027","Wave 3 - 2027 referendum cycle",IF($D34="Levying since 2020-23","Wave 2 - next phase / displace incumbent","Wave 1 - VERIFY referendum status first")))</f>
        <v>Wave 1 - VERIFY referendum status first</v>
      </c>
      <c r="S34" s="3" t="str">
        <f>IF($L34="Retrofit + state stack","SCAP application support + no-cost condition assessment",IF($L34="Retrofit / ESPC","No-cost facility condition assessment",IF($L34="New build / PPEA","PPEA concept + capital sequencing review",IF($L34="Blended programme","Capital programme structuring review","Targeted HVAC and roof scope review"))))</f>
        <v>PPEA concept + capital sequencing review</v>
      </c>
      <c r="T34" s="49"/>
      <c r="U34" s="49"/>
    </row>
    <row r="35" spans="1:21">
      <c r="A35" s="50" t="str">
        <f>'Opportunity Model'!A35</f>
        <v>Fauquier County</v>
      </c>
      <c r="B35" s="50" t="str">
        <f>'Opportunity Model'!B35</f>
        <v>County</v>
      </c>
      <c r="C35" s="51" t="s">
        <v>347</v>
      </c>
      <c r="D35" s="50" t="str">
        <f>'Opportunity Model'!D35</f>
        <v>No public action found</v>
      </c>
      <c r="E35" s="50">
        <f>'Opportunity Model'!E35</f>
        <v>1</v>
      </c>
      <c r="F35" s="52">
        <f>'Opportunity Model'!G35</f>
        <v>619712951.30833054</v>
      </c>
      <c r="G35" s="52">
        <f>'Opportunity Model'!F35</f>
        <v>19235007.34709784</v>
      </c>
      <c r="H35" s="53">
        <f>'Region Needs Profile'!B9</f>
        <v>7.9399999999999998E-2</v>
      </c>
      <c r="I35" s="54">
        <f>'Region Needs Profile'!C9</f>
        <v>48</v>
      </c>
      <c r="J35" s="55">
        <f>'Region Needs Profile'!P9</f>
        <v>54.342196447459614</v>
      </c>
      <c r="K35" s="51" t="str">
        <f>IF($F35&gt;=PERCENTILE($F$6:$F$138,0.75),"High",IF($F35&gt;=PERCENTILE($F$6:$F$138,0.4),"Moderate","Low"))</f>
        <v>High</v>
      </c>
      <c r="L35" s="51" t="str">
        <f>IF($J35&gt;=40,"New build / PPEA",IF($J35&lt;=-40,IF($K35="Low","Retrofit + state stack","Retrofit / ESPC"),IF($K35="High","Blended programme","Selective retrofit")))</f>
        <v>New build / PPEA</v>
      </c>
      <c r="M35" s="51" t="str">
        <f>IF($L35="New build / PPEA","Levy-backed debt + PPEA availability payment + SCAP 10%",IF($L35="Retrofit + state stack","SCAP 20-30% + Literary Fund + levy + guaranteed savings",IF($L35="Retrofit / ESPC","Levy + guaranteed savings + VPSA pooled bond",IF($L35="Blended programme","Levy-backed debt + ESPC on the retained estate","SCAP + Literary Fund + guaranteed savings"))))</f>
        <v>Levy-backed debt + PPEA availability payment + SCAP 10%</v>
      </c>
      <c r="N35" s="35">
        <f>IF(OR($L35="Retrofit / ESPC",$L35="Retrofit + state stack"),$B$142,IF($L35="New build / PPEA",$B$144,$B$143))</f>
        <v>0.45</v>
      </c>
      <c r="O35" s="35">
        <f>IF($D35="On Nov 2026 ballot",$B$145,IF($D35="Levying since 2020-23",$B$147,IF($D35="Deferred, eyeing 2027",$B$148,$B$146)))</f>
        <v>0.8</v>
      </c>
      <c r="P35" s="34">
        <f>IF($E35=0,"",($F35/MAX($F$6:$F$138))^0.38*100*$N35*$O35)</f>
        <v>13.713049956606866</v>
      </c>
      <c r="Q35" s="48" t="str">
        <f>IF($E35=0,"","P"&amp;MIN(4,ROUNDUP(RANK($P35,$P$6:$P$138)/COUNT($P$6:$P$138)*4,0)))</f>
        <v>P2</v>
      </c>
      <c r="R35" s="3" t="str">
        <f>IF($D35="On Nov 2026 ballot","Wave 1 - position before the vote",IF($D35="Deferred, eyeing 2027","Wave 3 - 2027 referendum cycle",IF($D35="Levying since 2020-23","Wave 2 - next phase / displace incumbent","Wave 1 - VERIFY referendum status first")))</f>
        <v>Wave 1 - VERIFY referendum status first</v>
      </c>
      <c r="S35" s="3" t="str">
        <f>IF($L35="Retrofit + state stack","SCAP application support + no-cost condition assessment",IF($L35="Retrofit / ESPC","No-cost facility condition assessment",IF($L35="New build / PPEA","PPEA concept + capital sequencing review",IF($L35="Blended programme","Capital programme structuring review","Targeted HVAC and roof scope review"))))</f>
        <v>PPEA concept + capital sequencing review</v>
      </c>
      <c r="T35" s="49"/>
      <c r="U35" s="49"/>
    </row>
    <row r="36" spans="1:21">
      <c r="A36" s="22" t="str">
        <f>'Opportunity Model'!A36</f>
        <v>Floyd County</v>
      </c>
      <c r="B36" s="22" t="str">
        <f>'Opportunity Model'!B36</f>
        <v>County</v>
      </c>
      <c r="C36" s="3" t="s">
        <v>350</v>
      </c>
      <c r="D36" s="22" t="str">
        <f>'Opportunity Model'!D36</f>
        <v>No public action found</v>
      </c>
      <c r="E36" s="22">
        <f>'Opportunity Model'!E36</f>
        <v>1</v>
      </c>
      <c r="F36" s="23">
        <f>'Opportunity Model'!G36</f>
        <v>60988679.631835699</v>
      </c>
      <c r="G36" s="23">
        <f>'Opportunity Model'!F36</f>
        <v>2023165.7074194038</v>
      </c>
      <c r="H36" s="45">
        <f>'Region Needs Profile'!B12</f>
        <v>-0.10009999999999999</v>
      </c>
      <c r="I36" s="46">
        <f>'Region Needs Profile'!C12</f>
        <v>58</v>
      </c>
      <c r="J36" s="47">
        <f>'Region Needs Profile'!P12</f>
        <v>-93.064667291471423</v>
      </c>
      <c r="K36" s="3" t="str">
        <f>IF($F36&gt;=PERCENTILE($F$6:$F$138,0.75),"High",IF($F36&gt;=PERCENTILE($F$6:$F$138,0.4),"Moderate","Low"))</f>
        <v>Low</v>
      </c>
      <c r="L36" s="3" t="str">
        <f>IF($J36&gt;=40,"New build / PPEA",IF($J36&lt;=-40,IF($K36="Low","Retrofit + state stack","Retrofit / ESPC"),IF($K36="High","Blended programme","Selective retrofit")))</f>
        <v>Retrofit + state stack</v>
      </c>
      <c r="M36" s="3" t="str">
        <f>IF($L36="New build / PPEA","Levy-backed debt + PPEA availability payment + SCAP 10%",IF($L36="Retrofit + state stack","SCAP 20-30% + Literary Fund + levy + guaranteed savings",IF($L36="Retrofit / ESPC","Levy + guaranteed savings + VPSA pooled bond",IF($L36="Blended programme","Levy-backed debt + ESPC on the retained estate","SCAP + Literary Fund + guaranteed savings"))))</f>
        <v>SCAP 20-30% + Literary Fund + levy + guaranteed savings</v>
      </c>
      <c r="N36" s="35">
        <f>IF(OR($L36="Retrofit / ESPC",$L36="Retrofit + state stack"),$B$142,IF($L36="New build / PPEA",$B$144,$B$143))</f>
        <v>1</v>
      </c>
      <c r="O36" s="35">
        <f>IF($D36="On Nov 2026 ballot",$B$145,IF($D36="Levying since 2020-23",$B$147,IF($D36="Deferred, eyeing 2027",$B$148,$B$146)))</f>
        <v>0.8</v>
      </c>
      <c r="P36" s="34">
        <f>IF($E36=0,"",($F36/MAX($F$6:$F$138))^0.38*100*$N36*$O36)</f>
        <v>12.626524759624758</v>
      </c>
      <c r="Q36" s="48" t="str">
        <f>IF($E36=0,"","P"&amp;MIN(4,ROUNDUP(RANK($P36,$P$6:$P$138)/COUNT($P$6:$P$138)*4,0)))</f>
        <v>P3</v>
      </c>
      <c r="R36" s="3" t="str">
        <f>IF($D36="On Nov 2026 ballot","Wave 1 - position before the vote",IF($D36="Deferred, eyeing 2027","Wave 3 - 2027 referendum cycle",IF($D36="Levying since 2020-23","Wave 2 - next phase / displace incumbent","Wave 1 - VERIFY referendum status first")))</f>
        <v>Wave 1 - VERIFY referendum status first</v>
      </c>
      <c r="S36" s="3" t="str">
        <f>IF($L36="Retrofit + state stack","SCAP application support + no-cost condition assessment",IF($L36="Retrofit / ESPC","No-cost facility condition assessment",IF($L36="New build / PPEA","PPEA concept + capital sequencing review",IF($L36="Blended programme","Capital programme structuring review","Targeted HVAC and roof scope review"))))</f>
        <v>SCAP application support + no-cost condition assessment</v>
      </c>
      <c r="T36" s="49"/>
      <c r="U36" s="49"/>
    </row>
    <row r="37" spans="1:21">
      <c r="A37" s="50" t="str">
        <f>'Opportunity Model'!A37</f>
        <v>Fluvanna County</v>
      </c>
      <c r="B37" s="50" t="str">
        <f>'Opportunity Model'!B37</f>
        <v>County</v>
      </c>
      <c r="C37" s="51" t="s">
        <v>348</v>
      </c>
      <c r="D37" s="50" t="str">
        <f>'Opportunity Model'!D37</f>
        <v>No public action found</v>
      </c>
      <c r="E37" s="50">
        <f>'Opportunity Model'!E37</f>
        <v>1</v>
      </c>
      <c r="F37" s="52">
        <f>'Opportunity Model'!G37</f>
        <v>93288803.597099811</v>
      </c>
      <c r="G37" s="52">
        <f>'Opportunity Model'!F37</f>
        <v>3177069.3108152896</v>
      </c>
      <c r="H37" s="53">
        <f>'Region Needs Profile'!B10</f>
        <v>3.0099999999999998E-2</v>
      </c>
      <c r="I37" s="54">
        <f>'Region Needs Profile'!C10</f>
        <v>55</v>
      </c>
      <c r="J37" s="55">
        <f>'Region Needs Profile'!P10</f>
        <v>10.405306444373188</v>
      </c>
      <c r="K37" s="51" t="str">
        <f>IF($F37&gt;=PERCENTILE($F$6:$F$138,0.75),"High",IF($F37&gt;=PERCENTILE($F$6:$F$138,0.4),"Moderate","Low"))</f>
        <v>Low</v>
      </c>
      <c r="L37" s="51" t="str">
        <f>IF($J37&gt;=40,"New build / PPEA",IF($J37&lt;=-40,IF($K37="Low","Retrofit + state stack","Retrofit / ESPC"),IF($K37="High","Blended programme","Selective retrofit")))</f>
        <v>Selective retrofit</v>
      </c>
      <c r="M37" s="51" t="str">
        <f>IF($L37="New build / PPEA","Levy-backed debt + PPEA availability payment + SCAP 10%",IF($L37="Retrofit + state stack","SCAP 20-30% + Literary Fund + levy + guaranteed savings",IF($L37="Retrofit / ESPC","Levy + guaranteed savings + VPSA pooled bond",IF($L37="Blended programme","Levy-backed debt + ESPC on the retained estate","SCAP + Literary Fund + guaranteed savings"))))</f>
        <v>SCAP + Literary Fund + guaranteed savings</v>
      </c>
      <c r="N37" s="35">
        <f>IF(OR($L37="Retrofit / ESPC",$L37="Retrofit + state stack"),$B$142,IF($L37="New build / PPEA",$B$144,$B$143))</f>
        <v>0.7</v>
      </c>
      <c r="O37" s="35">
        <f>IF($D37="On Nov 2026 ballot",$B$145,IF($D37="Levying since 2020-23",$B$147,IF($D37="Deferred, eyeing 2027",$B$148,$B$146)))</f>
        <v>0.8</v>
      </c>
      <c r="P37" s="34">
        <f>IF($E37=0,"",($F37/MAX($F$6:$F$138))^0.38*100*$N37*$O37)</f>
        <v>10.387771448449175</v>
      </c>
      <c r="Q37" s="48" t="str">
        <f>IF($E37=0,"","P"&amp;MIN(4,ROUNDUP(RANK($P37,$P$6:$P$138)/COUNT($P$6:$P$138)*4,0)))</f>
        <v>P3</v>
      </c>
      <c r="R37" s="3" t="str">
        <f>IF($D37="On Nov 2026 ballot","Wave 1 - position before the vote",IF($D37="Deferred, eyeing 2027","Wave 3 - 2027 referendum cycle",IF($D37="Levying since 2020-23","Wave 2 - next phase / displace incumbent","Wave 1 - VERIFY referendum status first")))</f>
        <v>Wave 1 - VERIFY referendum status first</v>
      </c>
      <c r="S37" s="3" t="str">
        <f>IF($L37="Retrofit + state stack","SCAP application support + no-cost condition assessment",IF($L37="Retrofit / ESPC","No-cost facility condition assessment",IF($L37="New build / PPEA","PPEA concept + capital sequencing review",IF($L37="Blended programme","Capital programme structuring review","Targeted HVAC and roof scope review"))))</f>
        <v>Targeted HVAC and roof scope review</v>
      </c>
      <c r="T37" s="49"/>
      <c r="U37" s="49"/>
    </row>
    <row r="38" spans="1:21">
      <c r="A38" s="22" t="str">
        <f>'Opportunity Model'!A38</f>
        <v>Franklin County</v>
      </c>
      <c r="B38" s="22" t="str">
        <f>'Opportunity Model'!B38</f>
        <v>County</v>
      </c>
      <c r="C38" s="3" t="s">
        <v>349</v>
      </c>
      <c r="D38" s="22" t="str">
        <f>'Opportunity Model'!D38</f>
        <v>On Nov 2026 ballot</v>
      </c>
      <c r="E38" s="22">
        <f>'Opportunity Model'!E38</f>
        <v>1</v>
      </c>
      <c r="F38" s="23">
        <f>'Opportunity Model'!G38</f>
        <v>256952736.40654007</v>
      </c>
      <c r="G38" s="23">
        <f>'Opportunity Model'!F38</f>
        <v>9154045.126180768</v>
      </c>
      <c r="H38" s="45">
        <f>'Region Needs Profile'!B11</f>
        <v>-6.7799999999999999E-2</v>
      </c>
      <c r="I38" s="46">
        <f>'Region Needs Profile'!C11</f>
        <v>58</v>
      </c>
      <c r="J38" s="47">
        <f>'Region Needs Profile'!P11</f>
        <v>-65.331357599398828</v>
      </c>
      <c r="K38" s="3" t="str">
        <f>IF($F38&gt;=PERCENTILE($F$6:$F$138,0.75),"High",IF($F38&gt;=PERCENTILE($F$6:$F$138,0.4),"Moderate","Low"))</f>
        <v>Moderate</v>
      </c>
      <c r="L38" s="3" t="str">
        <f>IF($J38&gt;=40,"New build / PPEA",IF($J38&lt;=-40,IF($K38="Low","Retrofit + state stack","Retrofit / ESPC"),IF($K38="High","Blended programme","Selective retrofit")))</f>
        <v>Retrofit / ESPC</v>
      </c>
      <c r="M38" s="3" t="str">
        <f>IF($L38="New build / PPEA","Levy-backed debt + PPEA availability payment + SCAP 10%",IF($L38="Retrofit + state stack","SCAP 20-30% + Literary Fund + levy + guaranteed savings",IF($L38="Retrofit / ESPC","Levy + guaranteed savings + VPSA pooled bond",IF($L38="Blended programme","Levy-backed debt + ESPC on the retained estate","SCAP + Literary Fund + guaranteed savings"))))</f>
        <v>Levy + guaranteed savings + VPSA pooled bond</v>
      </c>
      <c r="N38" s="35">
        <f>IF(OR($L38="Retrofit / ESPC",$L38="Retrofit + state stack"),$B$142,IF($L38="New build / PPEA",$B$144,$B$143))</f>
        <v>1</v>
      </c>
      <c r="O38" s="35">
        <f>IF($D38="On Nov 2026 ballot",$B$145,IF($D38="Levying since 2020-23",$B$147,IF($D38="Deferred, eyeing 2027",$B$148,$B$146)))</f>
        <v>1</v>
      </c>
      <c r="P38" s="34">
        <f>IF($E38=0,"",($F38/MAX($F$6:$F$138))^0.38*100*$N38*$O38)</f>
        <v>27.261099863962169</v>
      </c>
      <c r="Q38" s="48" t="str">
        <f>IF($E38=0,"","P"&amp;MIN(4,ROUNDUP(RANK($P38,$P$6:$P$138)/COUNT($P$6:$P$138)*4,0)))</f>
        <v>P1</v>
      </c>
      <c r="R38" s="3" t="str">
        <f>IF($D38="On Nov 2026 ballot","Wave 1 - position before the vote",IF($D38="Deferred, eyeing 2027","Wave 3 - 2027 referendum cycle",IF($D38="Levying since 2020-23","Wave 2 - next phase / displace incumbent","Wave 1 - VERIFY referendum status first")))</f>
        <v>Wave 1 - position before the vote</v>
      </c>
      <c r="S38" s="3" t="str">
        <f>IF($L38="Retrofit + state stack","SCAP application support + no-cost condition assessment",IF($L38="Retrofit / ESPC","No-cost facility condition assessment",IF($L38="New build / PPEA","PPEA concept + capital sequencing review",IF($L38="Blended programme","Capital programme structuring review","Targeted HVAC and roof scope review"))))</f>
        <v>No-cost facility condition assessment</v>
      </c>
      <c r="T38" s="49"/>
      <c r="U38" s="49"/>
    </row>
    <row r="39" spans="1:21">
      <c r="A39" s="50" t="str">
        <f>'Opportunity Model'!A39</f>
        <v>Frederick County</v>
      </c>
      <c r="B39" s="50" t="str">
        <f>'Opportunity Model'!B39</f>
        <v>County</v>
      </c>
      <c r="C39" s="51" t="s">
        <v>347</v>
      </c>
      <c r="D39" s="50" t="str">
        <f>'Opportunity Model'!D39</f>
        <v>No public action found</v>
      </c>
      <c r="E39" s="50">
        <f>'Opportunity Model'!E39</f>
        <v>1</v>
      </c>
      <c r="F39" s="52">
        <f>'Opportunity Model'!G39</f>
        <v>834560200.75234473</v>
      </c>
      <c r="G39" s="52">
        <f>'Opportunity Model'!F39</f>
        <v>25833959.594880264</v>
      </c>
      <c r="H39" s="53">
        <f>'Region Needs Profile'!B9</f>
        <v>7.9399999999999998E-2</v>
      </c>
      <c r="I39" s="54">
        <f>'Region Needs Profile'!C9</f>
        <v>48</v>
      </c>
      <c r="J39" s="55">
        <f>'Region Needs Profile'!P9</f>
        <v>54.342196447459614</v>
      </c>
      <c r="K39" s="51" t="str">
        <f>IF($F39&gt;=PERCENTILE($F$6:$F$138,0.75),"High",IF($F39&gt;=PERCENTILE($F$6:$F$138,0.4),"Moderate","Low"))</f>
        <v>High</v>
      </c>
      <c r="L39" s="51" t="str">
        <f>IF($J39&gt;=40,"New build / PPEA",IF($J39&lt;=-40,IF($K39="Low","Retrofit + state stack","Retrofit / ESPC"),IF($K39="High","Blended programme","Selective retrofit")))</f>
        <v>New build / PPEA</v>
      </c>
      <c r="M39" s="51" t="str">
        <f>IF($L39="New build / PPEA","Levy-backed debt + PPEA availability payment + SCAP 10%",IF($L39="Retrofit + state stack","SCAP 20-30% + Literary Fund + levy + guaranteed savings",IF($L39="Retrofit / ESPC","Levy + guaranteed savings + VPSA pooled bond",IF($L39="Blended programme","Levy-backed debt + ESPC on the retained estate","SCAP + Literary Fund + guaranteed savings"))))</f>
        <v>Levy-backed debt + PPEA availability payment + SCAP 10%</v>
      </c>
      <c r="N39" s="35">
        <f>IF(OR($L39="Retrofit / ESPC",$L39="Retrofit + state stack"),$B$142,IF($L39="New build / PPEA",$B$144,$B$143))</f>
        <v>0.45</v>
      </c>
      <c r="O39" s="35">
        <f>IF($D39="On Nov 2026 ballot",$B$145,IF($D39="Levying since 2020-23",$B$147,IF($D39="Deferred, eyeing 2027",$B$148,$B$146)))</f>
        <v>0.8</v>
      </c>
      <c r="P39" s="34">
        <f>IF($E39=0,"",($F39/MAX($F$6:$F$138))^0.38*100*$N39*$O39)</f>
        <v>15.355202746261524</v>
      </c>
      <c r="Q39" s="48" t="str">
        <f>IF($E39=0,"","P"&amp;MIN(4,ROUNDUP(RANK($P39,$P$6:$P$138)/COUNT($P$6:$P$138)*4,0)))</f>
        <v>P2</v>
      </c>
      <c r="R39" s="3" t="str">
        <f>IF($D39="On Nov 2026 ballot","Wave 1 - position before the vote",IF($D39="Deferred, eyeing 2027","Wave 3 - 2027 referendum cycle",IF($D39="Levying since 2020-23","Wave 2 - next phase / displace incumbent","Wave 1 - VERIFY referendum status first")))</f>
        <v>Wave 1 - VERIFY referendum status first</v>
      </c>
      <c r="S39" s="3" t="str">
        <f>IF($L39="Retrofit + state stack","SCAP application support + no-cost condition assessment",IF($L39="Retrofit / ESPC","No-cost facility condition assessment",IF($L39="New build / PPEA","PPEA concept + capital sequencing review",IF($L39="Blended programme","Capital programme structuring review","Targeted HVAC and roof scope review"))))</f>
        <v>PPEA concept + capital sequencing review</v>
      </c>
      <c r="T39" s="49"/>
      <c r="U39" s="49"/>
    </row>
    <row r="40" spans="1:21">
      <c r="A40" s="22" t="str">
        <f>'Opportunity Model'!A40</f>
        <v>Giles County</v>
      </c>
      <c r="B40" s="22" t="str">
        <f>'Opportunity Model'!B40</f>
        <v>County</v>
      </c>
      <c r="C40" s="3" t="s">
        <v>350</v>
      </c>
      <c r="D40" s="22" t="str">
        <f>'Opportunity Model'!D40</f>
        <v>No public action found</v>
      </c>
      <c r="E40" s="22">
        <f>'Opportunity Model'!E40</f>
        <v>1</v>
      </c>
      <c r="F40" s="23">
        <f>'Opportunity Model'!G40</f>
        <v>84035613.383878469</v>
      </c>
      <c r="G40" s="23">
        <f>'Opportunity Model'!F40</f>
        <v>3024840.1654925672</v>
      </c>
      <c r="H40" s="45">
        <f>'Region Needs Profile'!B12</f>
        <v>-0.10009999999999999</v>
      </c>
      <c r="I40" s="46">
        <f>'Region Needs Profile'!C12</f>
        <v>58</v>
      </c>
      <c r="J40" s="47">
        <f>'Region Needs Profile'!P12</f>
        <v>-93.064667291471423</v>
      </c>
      <c r="K40" s="3" t="str">
        <f>IF($F40&gt;=PERCENTILE($F$6:$F$138,0.75),"High",IF($F40&gt;=PERCENTILE($F$6:$F$138,0.4),"Moderate","Low"))</f>
        <v>Low</v>
      </c>
      <c r="L40" s="3" t="str">
        <f>IF($J40&gt;=40,"New build / PPEA",IF($J40&lt;=-40,IF($K40="Low","Retrofit + state stack","Retrofit / ESPC"),IF($K40="High","Blended programme","Selective retrofit")))</f>
        <v>Retrofit + state stack</v>
      </c>
      <c r="M40" s="3" t="str">
        <f>IF($L40="New build / PPEA","Levy-backed debt + PPEA availability payment + SCAP 10%",IF($L40="Retrofit + state stack","SCAP 20-30% + Literary Fund + levy + guaranteed savings",IF($L40="Retrofit / ESPC","Levy + guaranteed savings + VPSA pooled bond",IF($L40="Blended programme","Levy-backed debt + ESPC on the retained estate","SCAP + Literary Fund + guaranteed savings"))))</f>
        <v>SCAP 20-30% + Literary Fund + levy + guaranteed savings</v>
      </c>
      <c r="N40" s="35">
        <f>IF(OR($L40="Retrofit / ESPC",$L40="Retrofit + state stack"),$B$142,IF($L40="New build / PPEA",$B$144,$B$143))</f>
        <v>1</v>
      </c>
      <c r="O40" s="35">
        <f>IF($D40="On Nov 2026 ballot",$B$145,IF($D40="Levying since 2020-23",$B$147,IF($D40="Deferred, eyeing 2027",$B$148,$B$146)))</f>
        <v>0.8</v>
      </c>
      <c r="P40" s="34">
        <f>IF($E40=0,"",($F40/MAX($F$6:$F$138))^0.38*100*$N40*$O40)</f>
        <v>14.26215687387865</v>
      </c>
      <c r="Q40" s="48" t="str">
        <f>IF($E40=0,"","P"&amp;MIN(4,ROUNDUP(RANK($P40,$P$6:$P$138)/COUNT($P$6:$P$138)*4,0)))</f>
        <v>P2</v>
      </c>
      <c r="R40" s="3" t="str">
        <f>IF($D40="On Nov 2026 ballot","Wave 1 - position before the vote",IF($D40="Deferred, eyeing 2027","Wave 3 - 2027 referendum cycle",IF($D40="Levying since 2020-23","Wave 2 - next phase / displace incumbent","Wave 1 - VERIFY referendum status first")))</f>
        <v>Wave 1 - VERIFY referendum status first</v>
      </c>
      <c r="S40" s="3" t="str">
        <f>IF($L40="Retrofit + state stack","SCAP application support + no-cost condition assessment",IF($L40="Retrofit / ESPC","No-cost facility condition assessment",IF($L40="New build / PPEA","PPEA concept + capital sequencing review",IF($L40="Blended programme","Capital programme structuring review","Targeted HVAC and roof scope review"))))</f>
        <v>SCAP application support + no-cost condition assessment</v>
      </c>
      <c r="T40" s="49"/>
      <c r="U40" s="49"/>
    </row>
    <row r="41" spans="1:21">
      <c r="A41" s="50" t="str">
        <f>'Opportunity Model'!A41</f>
        <v>Gloucester County</v>
      </c>
      <c r="B41" s="50" t="str">
        <f>'Opportunity Model'!B41</f>
        <v>County</v>
      </c>
      <c r="C41" s="51" t="s">
        <v>346</v>
      </c>
      <c r="D41" s="50" t="str">
        <f>'Opportunity Model'!D41</f>
        <v>Levying since 2020-23</v>
      </c>
      <c r="E41" s="50">
        <f>'Opportunity Model'!E41</f>
        <v>1</v>
      </c>
      <c r="F41" s="52">
        <f>'Opportunity Model'!G41</f>
        <v>255018788.07100615</v>
      </c>
      <c r="G41" s="52">
        <f>'Opportunity Model'!F41</f>
        <v>8293160.3900062647</v>
      </c>
      <c r="H41" s="53">
        <f>'Region Needs Profile'!B8</f>
        <v>0.1108</v>
      </c>
      <c r="I41" s="54">
        <f>'Region Needs Profile'!C8</f>
        <v>32</v>
      </c>
      <c r="J41" s="55">
        <f>'Region Needs Profile'!P8</f>
        <v>86.269915651358943</v>
      </c>
      <c r="K41" s="51" t="str">
        <f>IF($F41&gt;=PERCENTILE($F$6:$F$138,0.75),"High",IF($F41&gt;=PERCENTILE($F$6:$F$138,0.4),"Moderate","Low"))</f>
        <v>Moderate</v>
      </c>
      <c r="L41" s="51" t="str">
        <f>IF($J41&gt;=40,"New build / PPEA",IF($J41&lt;=-40,IF($K41="Low","Retrofit + state stack","Retrofit / ESPC"),IF($K41="High","Blended programme","Selective retrofit")))</f>
        <v>New build / PPEA</v>
      </c>
      <c r="M41" s="51" t="str">
        <f>IF($L41="New build / PPEA","Levy-backed debt + PPEA availability payment + SCAP 10%",IF($L41="Retrofit + state stack","SCAP 20-30% + Literary Fund + levy + guaranteed savings",IF($L41="Retrofit / ESPC","Levy + guaranteed savings + VPSA pooled bond",IF($L41="Blended programme","Levy-backed debt + ESPC on the retained estate","SCAP + Literary Fund + guaranteed savings"))))</f>
        <v>Levy-backed debt + PPEA availability payment + SCAP 10%</v>
      </c>
      <c r="N41" s="35">
        <f>IF(OR($L41="Retrofit / ESPC",$L41="Retrofit + state stack"),$B$142,IF($L41="New build / PPEA",$B$144,$B$143))</f>
        <v>0.45</v>
      </c>
      <c r="O41" s="35">
        <f>IF($D41="On Nov 2026 ballot",$B$145,IF($D41="Levying since 2020-23",$B$147,IF($D41="Deferred, eyeing 2027",$B$148,$B$146)))</f>
        <v>0.65</v>
      </c>
      <c r="P41" s="34">
        <f>IF($E41=0,"",($F41/MAX($F$6:$F$138))^0.38*100*$N41*$O41)</f>
        <v>7.9510125269417751</v>
      </c>
      <c r="Q41" s="48" t="str">
        <f>IF($E41=0,"","P"&amp;MIN(4,ROUNDUP(RANK($P41,$P$6:$P$138)/COUNT($P$6:$P$138)*4,0)))</f>
        <v>P4</v>
      </c>
      <c r="R41" s="3" t="str">
        <f>IF($D41="On Nov 2026 ballot","Wave 1 - position before the vote",IF($D41="Deferred, eyeing 2027","Wave 3 - 2027 referendum cycle",IF($D41="Levying since 2020-23","Wave 2 - next phase / displace incumbent","Wave 1 - VERIFY referendum status first")))</f>
        <v>Wave 2 - next phase / displace incumbent</v>
      </c>
      <c r="S41" s="3" t="str">
        <f>IF($L41="Retrofit + state stack","SCAP application support + no-cost condition assessment",IF($L41="Retrofit / ESPC","No-cost facility condition assessment",IF($L41="New build / PPEA","PPEA concept + capital sequencing review",IF($L41="Blended programme","Capital programme structuring review","Targeted HVAC and roof scope review"))))</f>
        <v>PPEA concept + capital sequencing review</v>
      </c>
      <c r="T41" s="49"/>
      <c r="U41" s="49"/>
    </row>
    <row r="42" spans="1:21">
      <c r="A42" s="22" t="str">
        <f>'Opportunity Model'!A42</f>
        <v>Goochland County</v>
      </c>
      <c r="B42" s="22" t="str">
        <f>'Opportunity Model'!B42</f>
        <v>County</v>
      </c>
      <c r="C42" s="3" t="s">
        <v>344</v>
      </c>
      <c r="D42" s="22" t="str">
        <f>'Opportunity Model'!D42</f>
        <v>No public action found</v>
      </c>
      <c r="E42" s="22">
        <f>'Opportunity Model'!E42</f>
        <v>1</v>
      </c>
      <c r="F42" s="23">
        <f>'Opportunity Model'!G42</f>
        <v>225095616.62589279</v>
      </c>
      <c r="G42" s="23">
        <f>'Opportunity Model'!F42</f>
        <v>6655066.8327910379</v>
      </c>
      <c r="H42" s="45">
        <f>'Region Needs Profile'!B6</f>
        <v>5.8400000000000001E-2</v>
      </c>
      <c r="I42" s="46">
        <f>'Region Needs Profile'!C6</f>
        <v>50</v>
      </c>
      <c r="J42" s="47">
        <f>'Region Needs Profile'!P6</f>
        <v>20.904227632388256</v>
      </c>
      <c r="K42" s="3" t="str">
        <f>IF($F42&gt;=PERCENTILE($F$6:$F$138,0.75),"High",IF($F42&gt;=PERCENTILE($F$6:$F$138,0.4),"Moderate","Low"))</f>
        <v>Moderate</v>
      </c>
      <c r="L42" s="3" t="str">
        <f>IF($J42&gt;=40,"New build / PPEA",IF($J42&lt;=-40,IF($K42="Low","Retrofit + state stack","Retrofit / ESPC"),IF($K42="High","Blended programme","Selective retrofit")))</f>
        <v>Selective retrofit</v>
      </c>
      <c r="M42" s="3" t="str">
        <f>IF($L42="New build / PPEA","Levy-backed debt + PPEA availability payment + SCAP 10%",IF($L42="Retrofit + state stack","SCAP 20-30% + Literary Fund + levy + guaranteed savings",IF($L42="Retrofit / ESPC","Levy + guaranteed savings + VPSA pooled bond",IF($L42="Blended programme","Levy-backed debt + ESPC on the retained estate","SCAP + Literary Fund + guaranteed savings"))))</f>
        <v>SCAP + Literary Fund + guaranteed savings</v>
      </c>
      <c r="N42" s="35">
        <f>IF(OR($L42="Retrofit / ESPC",$L42="Retrofit + state stack"),$B$142,IF($L42="New build / PPEA",$B$144,$B$143))</f>
        <v>0.7</v>
      </c>
      <c r="O42" s="35">
        <f>IF($D42="On Nov 2026 ballot",$B$145,IF($D42="Levying since 2020-23",$B$147,IF($D42="Deferred, eyeing 2027",$B$148,$B$146)))</f>
        <v>0.8</v>
      </c>
      <c r="P42" s="34">
        <f>IF($E42=0,"",($F42/MAX($F$6:$F$138))^0.38*100*$N42*$O42)</f>
        <v>14.517326394708315</v>
      </c>
      <c r="Q42" s="48" t="str">
        <f>IF($E42=0,"","P"&amp;MIN(4,ROUNDUP(RANK($P42,$P$6:$P$138)/COUNT($P$6:$P$138)*4,0)))</f>
        <v>P2</v>
      </c>
      <c r="R42" s="3" t="str">
        <f>IF($D42="On Nov 2026 ballot","Wave 1 - position before the vote",IF($D42="Deferred, eyeing 2027","Wave 3 - 2027 referendum cycle",IF($D42="Levying since 2020-23","Wave 2 - next phase / displace incumbent","Wave 1 - VERIFY referendum status first")))</f>
        <v>Wave 1 - VERIFY referendum status first</v>
      </c>
      <c r="S42" s="3" t="str">
        <f>IF($L42="Retrofit + state stack","SCAP application support + no-cost condition assessment",IF($L42="Retrofit / ESPC","No-cost facility condition assessment",IF($L42="New build / PPEA","PPEA concept + capital sequencing review",IF($L42="Blended programme","Capital programme structuring review","Targeted HVAC and roof scope review"))))</f>
        <v>Targeted HVAC and roof scope review</v>
      </c>
      <c r="T42" s="49"/>
      <c r="U42" s="49"/>
    </row>
    <row r="43" spans="1:21">
      <c r="A43" s="50" t="str">
        <f>'Opportunity Model'!A43</f>
        <v>Grayson County</v>
      </c>
      <c r="B43" s="50" t="str">
        <f>'Opportunity Model'!B43</f>
        <v>County</v>
      </c>
      <c r="C43" s="51" t="s">
        <v>350</v>
      </c>
      <c r="D43" s="50" t="str">
        <f>'Opportunity Model'!D43</f>
        <v>No public action found</v>
      </c>
      <c r="E43" s="50">
        <f>'Opportunity Model'!E43</f>
        <v>1</v>
      </c>
      <c r="F43" s="52">
        <f>'Opportunity Model'!G43</f>
        <v>27161123.556247741</v>
      </c>
      <c r="G43" s="52">
        <f>'Opportunity Model'!F43</f>
        <v>995125.92927142326</v>
      </c>
      <c r="H43" s="53">
        <f>'Region Needs Profile'!B12</f>
        <v>-0.10009999999999999</v>
      </c>
      <c r="I43" s="54">
        <f>'Region Needs Profile'!C12</f>
        <v>58</v>
      </c>
      <c r="J43" s="55">
        <f>'Region Needs Profile'!P12</f>
        <v>-93.064667291471423</v>
      </c>
      <c r="K43" s="51" t="str">
        <f>IF($F43&gt;=PERCENTILE($F$6:$F$138,0.75),"High",IF($F43&gt;=PERCENTILE($F$6:$F$138,0.4),"Moderate","Low"))</f>
        <v>Low</v>
      </c>
      <c r="L43" s="51" t="str">
        <f>IF($J43&gt;=40,"New build / PPEA",IF($J43&lt;=-40,IF($K43="Low","Retrofit + state stack","Retrofit / ESPC"),IF($K43="High","Blended programme","Selective retrofit")))</f>
        <v>Retrofit + state stack</v>
      </c>
      <c r="M43" s="51" t="str">
        <f>IF($L43="New build / PPEA","Levy-backed debt + PPEA availability payment + SCAP 10%",IF($L43="Retrofit + state stack","SCAP 20-30% + Literary Fund + levy + guaranteed savings",IF($L43="Retrofit / ESPC","Levy + guaranteed savings + VPSA pooled bond",IF($L43="Blended programme","Levy-backed debt + ESPC on the retained estate","SCAP + Literary Fund + guaranteed savings"))))</f>
        <v>SCAP 20-30% + Literary Fund + levy + guaranteed savings</v>
      </c>
      <c r="N43" s="35">
        <f>IF(OR($L43="Retrofit / ESPC",$L43="Retrofit + state stack"),$B$142,IF($L43="New build / PPEA",$B$144,$B$143))</f>
        <v>1</v>
      </c>
      <c r="O43" s="35">
        <f>IF($D43="On Nov 2026 ballot",$B$145,IF($D43="Levying since 2020-23",$B$147,IF($D43="Deferred, eyeing 2027",$B$148,$B$146)))</f>
        <v>0.8</v>
      </c>
      <c r="P43" s="34">
        <f>IF($E43=0,"",($F43/MAX($F$6:$F$138))^0.38*100*$N43*$O43)</f>
        <v>9.285157281293813</v>
      </c>
      <c r="Q43" s="48" t="str">
        <f>IF($E43=0,"","P"&amp;MIN(4,ROUNDUP(RANK($P43,$P$6:$P$138)/COUNT($P$6:$P$138)*4,0)))</f>
        <v>P3</v>
      </c>
      <c r="R43" s="3" t="str">
        <f>IF($D43="On Nov 2026 ballot","Wave 1 - position before the vote",IF($D43="Deferred, eyeing 2027","Wave 3 - 2027 referendum cycle",IF($D43="Levying since 2020-23","Wave 2 - next phase / displace incumbent","Wave 1 - VERIFY referendum status first")))</f>
        <v>Wave 1 - VERIFY referendum status first</v>
      </c>
      <c r="S43" s="3" t="str">
        <f>IF($L43="Retrofit + state stack","SCAP application support + no-cost condition assessment",IF($L43="Retrofit / ESPC","No-cost facility condition assessment",IF($L43="New build / PPEA","PPEA concept + capital sequencing review",IF($L43="Blended programme","Capital programme structuring review","Targeted HVAC and roof scope review"))))</f>
        <v>SCAP application support + no-cost condition assessment</v>
      </c>
      <c r="T43" s="49"/>
      <c r="U43" s="49"/>
    </row>
    <row r="44" spans="1:21">
      <c r="A44" s="22" t="str">
        <f>'Opportunity Model'!A44</f>
        <v>Greene County</v>
      </c>
      <c r="B44" s="22" t="str">
        <f>'Opportunity Model'!B44</f>
        <v>County</v>
      </c>
      <c r="C44" s="3" t="s">
        <v>348</v>
      </c>
      <c r="D44" s="22" t="str">
        <f>'Opportunity Model'!D44</f>
        <v>No public action found</v>
      </c>
      <c r="E44" s="22">
        <f>'Opportunity Model'!E44</f>
        <v>1</v>
      </c>
      <c r="F44" s="23">
        <f>'Opportunity Model'!G44</f>
        <v>123680594.69696343</v>
      </c>
      <c r="G44" s="23">
        <f>'Opportunity Model'!F44</f>
        <v>3979612.7458001161</v>
      </c>
      <c r="H44" s="45">
        <f>'Region Needs Profile'!B10</f>
        <v>3.0099999999999998E-2</v>
      </c>
      <c r="I44" s="46">
        <f>'Region Needs Profile'!C10</f>
        <v>55</v>
      </c>
      <c r="J44" s="47">
        <f>'Region Needs Profile'!P10</f>
        <v>10.405306444373188</v>
      </c>
      <c r="K44" s="3" t="str">
        <f>IF($F44&gt;=PERCENTILE($F$6:$F$138,0.75),"High",IF($F44&gt;=PERCENTILE($F$6:$F$138,0.4),"Moderate","Low"))</f>
        <v>Moderate</v>
      </c>
      <c r="L44" s="3" t="str">
        <f>IF($J44&gt;=40,"New build / PPEA",IF($J44&lt;=-40,IF($K44="Low","Retrofit + state stack","Retrofit / ESPC"),IF($K44="High","Blended programme","Selective retrofit")))</f>
        <v>Selective retrofit</v>
      </c>
      <c r="M44" s="3" t="str">
        <f>IF($L44="New build / PPEA","Levy-backed debt + PPEA availability payment + SCAP 10%",IF($L44="Retrofit + state stack","SCAP 20-30% + Literary Fund + levy + guaranteed savings",IF($L44="Retrofit / ESPC","Levy + guaranteed savings + VPSA pooled bond",IF($L44="Blended programme","Levy-backed debt + ESPC on the retained estate","SCAP + Literary Fund + guaranteed savings"))))</f>
        <v>SCAP + Literary Fund + guaranteed savings</v>
      </c>
      <c r="N44" s="35">
        <f>IF(OR($L44="Retrofit / ESPC",$L44="Retrofit + state stack"),$B$142,IF($L44="New build / PPEA",$B$144,$B$143))</f>
        <v>0.7</v>
      </c>
      <c r="O44" s="35">
        <f>IF($D44="On Nov 2026 ballot",$B$145,IF($D44="Levying since 2020-23",$B$147,IF($D44="Deferred, eyeing 2027",$B$148,$B$146)))</f>
        <v>0.8</v>
      </c>
      <c r="P44" s="34">
        <f>IF($E44=0,"",($F44/MAX($F$6:$F$138))^0.38*100*$N44*$O44)</f>
        <v>11.562766657730146</v>
      </c>
      <c r="Q44" s="48" t="str">
        <f>IF($E44=0,"","P"&amp;MIN(4,ROUNDUP(RANK($P44,$P$6:$P$138)/COUNT($P$6:$P$138)*4,0)))</f>
        <v>P3</v>
      </c>
      <c r="R44" s="3" t="str">
        <f>IF($D44="On Nov 2026 ballot","Wave 1 - position before the vote",IF($D44="Deferred, eyeing 2027","Wave 3 - 2027 referendum cycle",IF($D44="Levying since 2020-23","Wave 2 - next phase / displace incumbent","Wave 1 - VERIFY referendum status first")))</f>
        <v>Wave 1 - VERIFY referendum status first</v>
      </c>
      <c r="S44" s="3" t="str">
        <f>IF($L44="Retrofit + state stack","SCAP application support + no-cost condition assessment",IF($L44="Retrofit / ESPC","No-cost facility condition assessment",IF($L44="New build / PPEA","PPEA concept + capital sequencing review",IF($L44="Blended programme","Capital programme structuring review","Targeted HVAC and roof scope review"))))</f>
        <v>Targeted HVAC and roof scope review</v>
      </c>
      <c r="T44" s="49"/>
      <c r="U44" s="49"/>
    </row>
    <row r="45" spans="1:21">
      <c r="A45" s="50" t="str">
        <f>'Opportunity Model'!A45</f>
        <v>Greensville County</v>
      </c>
      <c r="B45" s="50" t="str">
        <f>'Opportunity Model'!B45</f>
        <v>County</v>
      </c>
      <c r="C45" s="51" t="s">
        <v>351</v>
      </c>
      <c r="D45" s="50" t="str">
        <f>'Opportunity Model'!D45</f>
        <v>No public action found</v>
      </c>
      <c r="E45" s="50">
        <f>'Opportunity Model'!E45</f>
        <v>1</v>
      </c>
      <c r="F45" s="52">
        <f>'Opportunity Model'!G45</f>
        <v>29522934.53047264</v>
      </c>
      <c r="G45" s="52">
        <f>'Opportunity Model'!F45</f>
        <v>1262084.8673145687</v>
      </c>
      <c r="H45" s="53">
        <f>'Region Needs Profile'!B13</f>
        <v>-7.3999999999999996E-2</v>
      </c>
      <c r="I45" s="54">
        <f>'Region Needs Profile'!C13</f>
        <v>58</v>
      </c>
      <c r="J45" s="55">
        <f>'Region Needs Profile'!P13</f>
        <v>-87.624466571835001</v>
      </c>
      <c r="K45" s="51" t="str">
        <f>IF($F45&gt;=PERCENTILE($F$6:$F$138,0.75),"High",IF($F45&gt;=PERCENTILE($F$6:$F$138,0.4),"Moderate","Low"))</f>
        <v>Low</v>
      </c>
      <c r="L45" s="51" t="str">
        <f>IF($J45&gt;=40,"New build / PPEA",IF($J45&lt;=-40,IF($K45="Low","Retrofit + state stack","Retrofit / ESPC"),IF($K45="High","Blended programme","Selective retrofit")))</f>
        <v>Retrofit + state stack</v>
      </c>
      <c r="M45" s="51" t="str">
        <f>IF($L45="New build / PPEA","Levy-backed debt + PPEA availability payment + SCAP 10%",IF($L45="Retrofit + state stack","SCAP 20-30% + Literary Fund + levy + guaranteed savings",IF($L45="Retrofit / ESPC","Levy + guaranteed savings + VPSA pooled bond",IF($L45="Blended programme","Levy-backed debt + ESPC on the retained estate","SCAP + Literary Fund + guaranteed savings"))))</f>
        <v>SCAP 20-30% + Literary Fund + levy + guaranteed savings</v>
      </c>
      <c r="N45" s="35">
        <f>IF(OR($L45="Retrofit / ESPC",$L45="Retrofit + state stack"),$B$142,IF($L45="New build / PPEA",$B$144,$B$143))</f>
        <v>1</v>
      </c>
      <c r="O45" s="35">
        <f>IF($D45="On Nov 2026 ballot",$B$145,IF($D45="Levying since 2020-23",$B$147,IF($D45="Deferred, eyeing 2027",$B$148,$B$146)))</f>
        <v>0.8</v>
      </c>
      <c r="P45" s="34">
        <f>IF($E45=0,"",($F45/MAX($F$6:$F$138))^0.38*100*$N45*$O45)</f>
        <v>9.5840648950392175</v>
      </c>
      <c r="Q45" s="48" t="str">
        <f>IF($E45=0,"","P"&amp;MIN(4,ROUNDUP(RANK($P45,$P$6:$P$138)/COUNT($P$6:$P$138)*4,0)))</f>
        <v>P3</v>
      </c>
      <c r="R45" s="3" t="str">
        <f>IF($D45="On Nov 2026 ballot","Wave 1 - position before the vote",IF($D45="Deferred, eyeing 2027","Wave 3 - 2027 referendum cycle",IF($D45="Levying since 2020-23","Wave 2 - next phase / displace incumbent","Wave 1 - VERIFY referendum status first")))</f>
        <v>Wave 1 - VERIFY referendum status first</v>
      </c>
      <c r="S45" s="3" t="str">
        <f>IF($L45="Retrofit + state stack","SCAP application support + no-cost condition assessment",IF($L45="Retrofit / ESPC","No-cost facility condition assessment",IF($L45="New build / PPEA","PPEA concept + capital sequencing review",IF($L45="Blended programme","Capital programme structuring review","Targeted HVAC and roof scope review"))))</f>
        <v>SCAP application support + no-cost condition assessment</v>
      </c>
      <c r="T45" s="49"/>
      <c r="U45" s="49"/>
    </row>
    <row r="46" spans="1:21">
      <c r="A46" s="22" t="str">
        <f>'Opportunity Model'!A46</f>
        <v>Halifax County</v>
      </c>
      <c r="B46" s="22" t="str">
        <f>'Opportunity Model'!B46</f>
        <v>County</v>
      </c>
      <c r="C46" s="3" t="s">
        <v>351</v>
      </c>
      <c r="D46" s="22" t="str">
        <f>'Opportunity Model'!D46</f>
        <v>Levying since 2020-23</v>
      </c>
      <c r="E46" s="22">
        <f>'Opportunity Model'!E46</f>
        <v>1</v>
      </c>
      <c r="F46" s="23">
        <f>'Opportunity Model'!G46</f>
        <v>184904517.7360203</v>
      </c>
      <c r="G46" s="23">
        <f>'Opportunity Model'!F46</f>
        <v>6367472.4490853408</v>
      </c>
      <c r="H46" s="45">
        <f>'Region Needs Profile'!B13</f>
        <v>-7.3999999999999996E-2</v>
      </c>
      <c r="I46" s="46">
        <f>'Region Needs Profile'!C13</f>
        <v>58</v>
      </c>
      <c r="J46" s="47">
        <f>'Region Needs Profile'!P13</f>
        <v>-87.624466571835001</v>
      </c>
      <c r="K46" s="3" t="str">
        <f>IF($F46&gt;=PERCENTILE($F$6:$F$138,0.75),"High",IF($F46&gt;=PERCENTILE($F$6:$F$138,0.4),"Moderate","Low"))</f>
        <v>Moderate</v>
      </c>
      <c r="L46" s="3" t="str">
        <f>IF($J46&gt;=40,"New build / PPEA",IF($J46&lt;=-40,IF($K46="Low","Retrofit + state stack","Retrofit / ESPC"),IF($K46="High","Blended programme","Selective retrofit")))</f>
        <v>Retrofit / ESPC</v>
      </c>
      <c r="M46" s="3" t="str">
        <f>IF($L46="New build / PPEA","Levy-backed debt + PPEA availability payment + SCAP 10%",IF($L46="Retrofit + state stack","SCAP 20-30% + Literary Fund + levy + guaranteed savings",IF($L46="Retrofit / ESPC","Levy + guaranteed savings + VPSA pooled bond",IF($L46="Blended programme","Levy-backed debt + ESPC on the retained estate","SCAP + Literary Fund + guaranteed savings"))))</f>
        <v>Levy + guaranteed savings + VPSA pooled bond</v>
      </c>
      <c r="N46" s="35">
        <f>IF(OR($L46="Retrofit / ESPC",$L46="Retrofit + state stack"),$B$142,IF($L46="New build / PPEA",$B$144,$B$143))</f>
        <v>1</v>
      </c>
      <c r="O46" s="35">
        <f>IF($D46="On Nov 2026 ballot",$B$145,IF($D46="Levying since 2020-23",$B$147,IF($D46="Deferred, eyeing 2027",$B$148,$B$146)))</f>
        <v>0.65</v>
      </c>
      <c r="P46" s="34">
        <f>IF($E46=0,"",($F46/MAX($F$6:$F$138))^0.38*100*$N46*$O46)</f>
        <v>15.636968271345657</v>
      </c>
      <c r="Q46" s="48" t="str">
        <f>IF($E46=0,"","P"&amp;MIN(4,ROUNDUP(RANK($P46,$P$6:$P$138)/COUNT($P$6:$P$138)*4,0)))</f>
        <v>P2</v>
      </c>
      <c r="R46" s="3" t="str">
        <f>IF($D46="On Nov 2026 ballot","Wave 1 - position before the vote",IF($D46="Deferred, eyeing 2027","Wave 3 - 2027 referendum cycle",IF($D46="Levying since 2020-23","Wave 2 - next phase / displace incumbent","Wave 1 - VERIFY referendum status first")))</f>
        <v>Wave 2 - next phase / displace incumbent</v>
      </c>
      <c r="S46" s="3" t="str">
        <f>IF($L46="Retrofit + state stack","SCAP application support + no-cost condition assessment",IF($L46="Retrofit / ESPC","No-cost facility condition assessment",IF($L46="New build / PPEA","PPEA concept + capital sequencing review",IF($L46="Blended programme","Capital programme structuring review","Targeted HVAC and roof scope review"))))</f>
        <v>No-cost facility condition assessment</v>
      </c>
      <c r="T46" s="49"/>
      <c r="U46" s="49"/>
    </row>
    <row r="47" spans="1:21">
      <c r="A47" s="50" t="str">
        <f>'Opportunity Model'!A47</f>
        <v>Hanover County</v>
      </c>
      <c r="B47" s="50" t="str">
        <f>'Opportunity Model'!B47</f>
        <v>County</v>
      </c>
      <c r="C47" s="51" t="s">
        <v>344</v>
      </c>
      <c r="D47" s="50" t="str">
        <f>'Opportunity Model'!D47</f>
        <v>No public action found</v>
      </c>
      <c r="E47" s="50">
        <f>'Opportunity Model'!E47</f>
        <v>1</v>
      </c>
      <c r="F47" s="52">
        <f>'Opportunity Model'!G47</f>
        <v>1260464065.6283431</v>
      </c>
      <c r="G47" s="52">
        <f>'Opportunity Model'!F47</f>
        <v>40147137.810075164</v>
      </c>
      <c r="H47" s="53">
        <f>'Region Needs Profile'!B6</f>
        <v>5.8400000000000001E-2</v>
      </c>
      <c r="I47" s="54">
        <f>'Region Needs Profile'!C6</f>
        <v>50</v>
      </c>
      <c r="J47" s="55">
        <f>'Region Needs Profile'!P6</f>
        <v>20.904227632388256</v>
      </c>
      <c r="K47" s="51" t="str">
        <f>IF($F47&gt;=PERCENTILE($F$6:$F$138,0.75),"High",IF($F47&gt;=PERCENTILE($F$6:$F$138,0.4),"Moderate","Low"))</f>
        <v>High</v>
      </c>
      <c r="L47" s="51" t="str">
        <f>IF($J47&gt;=40,"New build / PPEA",IF($J47&lt;=-40,IF($K47="Low","Retrofit + state stack","Retrofit / ESPC"),IF($K47="High","Blended programme","Selective retrofit")))</f>
        <v>Blended programme</v>
      </c>
      <c r="M47" s="51" t="str">
        <f>IF($L47="New build / PPEA","Levy-backed debt + PPEA availability payment + SCAP 10%",IF($L47="Retrofit + state stack","SCAP 20-30% + Literary Fund + levy + guaranteed savings",IF($L47="Retrofit / ESPC","Levy + guaranteed savings + VPSA pooled bond",IF($L47="Blended programme","Levy-backed debt + ESPC on the retained estate","SCAP + Literary Fund + guaranteed savings"))))</f>
        <v>Levy-backed debt + ESPC on the retained estate</v>
      </c>
      <c r="N47" s="35">
        <f>IF(OR($L47="Retrofit / ESPC",$L47="Retrofit + state stack"),$B$142,IF($L47="New build / PPEA",$B$144,$B$143))</f>
        <v>0.7</v>
      </c>
      <c r="O47" s="35">
        <f>IF($D47="On Nov 2026 ballot",$B$145,IF($D47="Levying since 2020-23",$B$147,IF($D47="Deferred, eyeing 2027",$B$148,$B$146)))</f>
        <v>0.8</v>
      </c>
      <c r="P47" s="34">
        <f>IF($E47=0,"",($F47/MAX($F$6:$F$138))^0.38*100*$N47*$O47)</f>
        <v>27.937577487380551</v>
      </c>
      <c r="Q47" s="48" t="str">
        <f>IF($E47=0,"","P"&amp;MIN(4,ROUNDUP(RANK($P47,$P$6:$P$138)/COUNT($P$6:$P$138)*4,0)))</f>
        <v>P1</v>
      </c>
      <c r="R47" s="3" t="str">
        <f>IF($D47="On Nov 2026 ballot","Wave 1 - position before the vote",IF($D47="Deferred, eyeing 2027","Wave 3 - 2027 referendum cycle",IF($D47="Levying since 2020-23","Wave 2 - next phase / displace incumbent","Wave 1 - VERIFY referendum status first")))</f>
        <v>Wave 1 - VERIFY referendum status first</v>
      </c>
      <c r="S47" s="3" t="str">
        <f>IF($L47="Retrofit + state stack","SCAP application support + no-cost condition assessment",IF($L47="Retrofit / ESPC","No-cost facility condition assessment",IF($L47="New build / PPEA","PPEA concept + capital sequencing review",IF($L47="Blended programme","Capital programme structuring review","Targeted HVAC and roof scope review"))))</f>
        <v>Capital programme structuring review</v>
      </c>
      <c r="T47" s="49"/>
      <c r="U47" s="49"/>
    </row>
    <row r="48" spans="1:21">
      <c r="A48" s="22" t="str">
        <f>'Opportunity Model'!A48</f>
        <v>Henrico County</v>
      </c>
      <c r="B48" s="22" t="str">
        <f>'Opportunity Model'!B48</f>
        <v>County</v>
      </c>
      <c r="C48" s="3" t="s">
        <v>344</v>
      </c>
      <c r="D48" s="22" t="str">
        <f>'Opportunity Model'!D48</f>
        <v>No public action found</v>
      </c>
      <c r="E48" s="22">
        <f>'Opportunity Model'!E48</f>
        <v>1</v>
      </c>
      <c r="F48" s="23">
        <f>'Opportunity Model'!G48</f>
        <v>3115375007.0100279</v>
      </c>
      <c r="G48" s="23">
        <f>'Opportunity Model'!F48</f>
        <v>105166272.87125285</v>
      </c>
      <c r="H48" s="45">
        <f>'Region Needs Profile'!B6</f>
        <v>5.8400000000000001E-2</v>
      </c>
      <c r="I48" s="46">
        <f>'Region Needs Profile'!C6</f>
        <v>50</v>
      </c>
      <c r="J48" s="47">
        <f>'Region Needs Profile'!P6</f>
        <v>20.904227632388256</v>
      </c>
      <c r="K48" s="3" t="str">
        <f>IF($F48&gt;=PERCENTILE($F$6:$F$138,0.75),"High",IF($F48&gt;=PERCENTILE($F$6:$F$138,0.4),"Moderate","Low"))</f>
        <v>High</v>
      </c>
      <c r="L48" s="3" t="str">
        <f>IF($J48&gt;=40,"New build / PPEA",IF($J48&lt;=-40,IF($K48="Low","Retrofit + state stack","Retrofit / ESPC"),IF($K48="High","Blended programme","Selective retrofit")))</f>
        <v>Blended programme</v>
      </c>
      <c r="M48" s="3" t="str">
        <f>IF($L48="New build / PPEA","Levy-backed debt + PPEA availability payment + SCAP 10%",IF($L48="Retrofit + state stack","SCAP 20-30% + Literary Fund + levy + guaranteed savings",IF($L48="Retrofit / ESPC","Levy + guaranteed savings + VPSA pooled bond",IF($L48="Blended programme","Levy-backed debt + ESPC on the retained estate","SCAP + Literary Fund + guaranteed savings"))))</f>
        <v>Levy-backed debt + ESPC on the retained estate</v>
      </c>
      <c r="N48" s="35">
        <f>IF(OR($L48="Retrofit / ESPC",$L48="Retrofit + state stack"),$B$142,IF($L48="New build / PPEA",$B$144,$B$143))</f>
        <v>0.7</v>
      </c>
      <c r="O48" s="35">
        <f>IF($D48="On Nov 2026 ballot",$B$145,IF($D48="Levying since 2020-23",$B$147,IF($D48="Deferred, eyeing 2027",$B$148,$B$146)))</f>
        <v>0.8</v>
      </c>
      <c r="P48" s="34">
        <f>IF($E48=0,"",($F48/MAX($F$6:$F$138))^0.38*100*$N48*$O48)</f>
        <v>39.402256404306456</v>
      </c>
      <c r="Q48" s="48" t="str">
        <f>IF($E48=0,"","P"&amp;MIN(4,ROUNDUP(RANK($P48,$P$6:$P$138)/COUNT($P$6:$P$138)*4,0)))</f>
        <v>P1</v>
      </c>
      <c r="R48" s="3" t="str">
        <f>IF($D48="On Nov 2026 ballot","Wave 1 - position before the vote",IF($D48="Deferred, eyeing 2027","Wave 3 - 2027 referendum cycle",IF($D48="Levying since 2020-23","Wave 2 - next phase / displace incumbent","Wave 1 - VERIFY referendum status first")))</f>
        <v>Wave 1 - VERIFY referendum status first</v>
      </c>
      <c r="S48" s="3" t="str">
        <f>IF($L48="Retrofit + state stack","SCAP application support + no-cost condition assessment",IF($L48="Retrofit / ESPC","No-cost facility condition assessment",IF($L48="New build / PPEA","PPEA concept + capital sequencing review",IF($L48="Blended programme","Capital programme structuring review","Targeted HVAC and roof scope review"))))</f>
        <v>Capital programme structuring review</v>
      </c>
      <c r="T48" s="49"/>
      <c r="U48" s="49"/>
    </row>
    <row r="49" spans="1:21">
      <c r="A49" s="50" t="str">
        <f>'Opportunity Model'!A49</f>
        <v>Henry County</v>
      </c>
      <c r="B49" s="50" t="str">
        <f>'Opportunity Model'!B49</f>
        <v>County</v>
      </c>
      <c r="C49" s="51" t="s">
        <v>349</v>
      </c>
      <c r="D49" s="50" t="str">
        <f>'Opportunity Model'!D49</f>
        <v>Levying since 2020-23</v>
      </c>
      <c r="E49" s="50">
        <f>'Opportunity Model'!E49</f>
        <v>1</v>
      </c>
      <c r="F49" s="52">
        <f>'Opportunity Model'!G49</f>
        <v>210690141.43227077</v>
      </c>
      <c r="G49" s="52">
        <f>'Opportunity Model'!F49</f>
        <v>7429840.0601549121</v>
      </c>
      <c r="H49" s="53">
        <f>'Region Needs Profile'!B11</f>
        <v>-6.7799999999999999E-2</v>
      </c>
      <c r="I49" s="54">
        <f>'Region Needs Profile'!C11</f>
        <v>58</v>
      </c>
      <c r="J49" s="55">
        <f>'Region Needs Profile'!P11</f>
        <v>-65.331357599398828</v>
      </c>
      <c r="K49" s="51" t="str">
        <f>IF($F49&gt;=PERCENTILE($F$6:$F$138,0.75),"High",IF($F49&gt;=PERCENTILE($F$6:$F$138,0.4),"Moderate","Low"))</f>
        <v>Moderate</v>
      </c>
      <c r="L49" s="51" t="str">
        <f>IF($J49&gt;=40,"New build / PPEA",IF($J49&lt;=-40,IF($K49="Low","Retrofit + state stack","Retrofit / ESPC"),IF($K49="High","Blended programme","Selective retrofit")))</f>
        <v>Retrofit / ESPC</v>
      </c>
      <c r="M49" s="51" t="str">
        <f>IF($L49="New build / PPEA","Levy-backed debt + PPEA availability payment + SCAP 10%",IF($L49="Retrofit + state stack","SCAP 20-30% + Literary Fund + levy + guaranteed savings",IF($L49="Retrofit / ESPC","Levy + guaranteed savings + VPSA pooled bond",IF($L49="Blended programme","Levy-backed debt + ESPC on the retained estate","SCAP + Literary Fund + guaranteed savings"))))</f>
        <v>Levy + guaranteed savings + VPSA pooled bond</v>
      </c>
      <c r="N49" s="35">
        <f>IF(OR($L49="Retrofit / ESPC",$L49="Retrofit + state stack"),$B$142,IF($L49="New build / PPEA",$B$144,$B$143))</f>
        <v>1</v>
      </c>
      <c r="O49" s="35">
        <f>IF($D49="On Nov 2026 ballot",$B$145,IF($D49="Levying since 2020-23",$B$147,IF($D49="Deferred, eyeing 2027",$B$148,$B$146)))</f>
        <v>0.65</v>
      </c>
      <c r="P49" s="34">
        <f>IF($E49=0,"",($F49/MAX($F$6:$F$138))^0.38*100*$N49*$O49)</f>
        <v>16.432260003531567</v>
      </c>
      <c r="Q49" s="48" t="str">
        <f>IF($E49=0,"","P"&amp;MIN(4,ROUNDUP(RANK($P49,$P$6:$P$138)/COUNT($P$6:$P$138)*4,0)))</f>
        <v>P2</v>
      </c>
      <c r="R49" s="3" t="str">
        <f>IF($D49="On Nov 2026 ballot","Wave 1 - position before the vote",IF($D49="Deferred, eyeing 2027","Wave 3 - 2027 referendum cycle",IF($D49="Levying since 2020-23","Wave 2 - next phase / displace incumbent","Wave 1 - VERIFY referendum status first")))</f>
        <v>Wave 2 - next phase / displace incumbent</v>
      </c>
      <c r="S49" s="3" t="str">
        <f>IF($L49="Retrofit + state stack","SCAP application support + no-cost condition assessment",IF($L49="Retrofit / ESPC","No-cost facility condition assessment",IF($L49="New build / PPEA","PPEA concept + capital sequencing review",IF($L49="Blended programme","Capital programme structuring review","Targeted HVAC and roof scope review"))))</f>
        <v>No-cost facility condition assessment</v>
      </c>
      <c r="T49" s="49"/>
      <c r="U49" s="49"/>
    </row>
    <row r="50" spans="1:21">
      <c r="A50" s="22" t="str">
        <f>'Opportunity Model'!A50</f>
        <v>Highland County</v>
      </c>
      <c r="B50" s="22" t="str">
        <f>'Opportunity Model'!B50</f>
        <v>County</v>
      </c>
      <c r="C50" s="3" t="s">
        <v>348</v>
      </c>
      <c r="D50" s="22" t="str">
        <f>'Opportunity Model'!D50</f>
        <v>No public action found</v>
      </c>
      <c r="E50" s="22">
        <f>'Opportunity Model'!E50</f>
        <v>1</v>
      </c>
      <c r="F50" s="23">
        <f>'Opportunity Model'!G50</f>
        <v>8031372.2613460459</v>
      </c>
      <c r="G50" s="23">
        <f>'Opportunity Model'!F50</f>
        <v>258755.64489389953</v>
      </c>
      <c r="H50" s="45">
        <f>'Region Needs Profile'!B10</f>
        <v>3.0099999999999998E-2</v>
      </c>
      <c r="I50" s="46">
        <f>'Region Needs Profile'!C10</f>
        <v>55</v>
      </c>
      <c r="J50" s="47">
        <f>'Region Needs Profile'!P10</f>
        <v>10.405306444373188</v>
      </c>
      <c r="K50" s="3" t="str">
        <f>IF($F50&gt;=PERCENTILE($F$6:$F$138,0.75),"High",IF($F50&gt;=PERCENTILE($F$6:$F$138,0.4),"Moderate","Low"))</f>
        <v>Low</v>
      </c>
      <c r="L50" s="3" t="str">
        <f>IF($J50&gt;=40,"New build / PPEA",IF($J50&lt;=-40,IF($K50="Low","Retrofit + state stack","Retrofit / ESPC"),IF($K50="High","Blended programme","Selective retrofit")))</f>
        <v>Selective retrofit</v>
      </c>
      <c r="M50" s="3" t="str">
        <f>IF($L50="New build / PPEA","Levy-backed debt + PPEA availability payment + SCAP 10%",IF($L50="Retrofit + state stack","SCAP 20-30% + Literary Fund + levy + guaranteed savings",IF($L50="Retrofit / ESPC","Levy + guaranteed savings + VPSA pooled bond",IF($L50="Blended programme","Levy-backed debt + ESPC on the retained estate","SCAP + Literary Fund + guaranteed savings"))))</f>
        <v>SCAP + Literary Fund + guaranteed savings</v>
      </c>
      <c r="N50" s="35">
        <f>IF(OR($L50="Retrofit / ESPC",$L50="Retrofit + state stack"),$B$142,IF($L50="New build / PPEA",$B$144,$B$143))</f>
        <v>0.7</v>
      </c>
      <c r="O50" s="35">
        <f>IF($D50="On Nov 2026 ballot",$B$145,IF($D50="Levying since 2020-23",$B$147,IF($D50="Deferred, eyeing 2027",$B$148,$B$146)))</f>
        <v>0.8</v>
      </c>
      <c r="P50" s="34">
        <f>IF($E50=0,"",($F50/MAX($F$6:$F$138))^0.38*100*$N50*$O50)</f>
        <v>4.0907908344670227</v>
      </c>
      <c r="Q50" s="48" t="str">
        <f>IF($E50=0,"","P"&amp;MIN(4,ROUNDUP(RANK($P50,$P$6:$P$138)/COUNT($P$6:$P$138)*4,0)))</f>
        <v>P4</v>
      </c>
      <c r="R50" s="3" t="str">
        <f>IF($D50="On Nov 2026 ballot","Wave 1 - position before the vote",IF($D50="Deferred, eyeing 2027","Wave 3 - 2027 referendum cycle",IF($D50="Levying since 2020-23","Wave 2 - next phase / displace incumbent","Wave 1 - VERIFY referendum status first")))</f>
        <v>Wave 1 - VERIFY referendum status first</v>
      </c>
      <c r="S50" s="3" t="str">
        <f>IF($L50="Retrofit + state stack","SCAP application support + no-cost condition assessment",IF($L50="Retrofit / ESPC","No-cost facility condition assessment",IF($L50="New build / PPEA","PPEA concept + capital sequencing review",IF($L50="Blended programme","Capital programme structuring review","Targeted HVAC and roof scope review"))))</f>
        <v>Targeted HVAC and roof scope review</v>
      </c>
      <c r="T50" s="49"/>
      <c r="U50" s="49"/>
    </row>
    <row r="51" spans="1:21">
      <c r="A51" s="50" t="str">
        <f>'Opportunity Model'!A51</f>
        <v>Isle of Wight County</v>
      </c>
      <c r="B51" s="50" t="str">
        <f>'Opportunity Model'!B51</f>
        <v>County</v>
      </c>
      <c r="C51" s="51" t="s">
        <v>345</v>
      </c>
      <c r="D51" s="50" t="str">
        <f>'Opportunity Model'!D51</f>
        <v>No public action found</v>
      </c>
      <c r="E51" s="50">
        <f>'Opportunity Model'!E51</f>
        <v>1</v>
      </c>
      <c r="F51" s="52">
        <f>'Opportunity Model'!G51</f>
        <v>224478086.44938752</v>
      </c>
      <c r="G51" s="52">
        <f>'Opportunity Model'!F51</f>
        <v>6594426.9728881791</v>
      </c>
      <c r="H51" s="53">
        <f>'Region Needs Profile'!B7</f>
        <v>1.43E-2</v>
      </c>
      <c r="I51" s="54">
        <f>'Region Needs Profile'!C7</f>
        <v>50</v>
      </c>
      <c r="J51" s="55">
        <f>'Region Needs Profile'!P7</f>
        <v>-8.3941601847190412</v>
      </c>
      <c r="K51" s="51" t="str">
        <f>IF($F51&gt;=PERCENTILE($F$6:$F$138,0.75),"High",IF($F51&gt;=PERCENTILE($F$6:$F$138,0.4),"Moderate","Low"))</f>
        <v>Moderate</v>
      </c>
      <c r="L51" s="51" t="str">
        <f>IF($J51&gt;=40,"New build / PPEA",IF($J51&lt;=-40,IF($K51="Low","Retrofit + state stack","Retrofit / ESPC"),IF($K51="High","Blended programme","Selective retrofit")))</f>
        <v>Selective retrofit</v>
      </c>
      <c r="M51" s="51" t="str">
        <f>IF($L51="New build / PPEA","Levy-backed debt + PPEA availability payment + SCAP 10%",IF($L51="Retrofit + state stack","SCAP 20-30% + Literary Fund + levy + guaranteed savings",IF($L51="Retrofit / ESPC","Levy + guaranteed savings + VPSA pooled bond",IF($L51="Blended programme","Levy-backed debt + ESPC on the retained estate","SCAP + Literary Fund + guaranteed savings"))))</f>
        <v>SCAP + Literary Fund + guaranteed savings</v>
      </c>
      <c r="N51" s="35">
        <f>IF(OR($L51="Retrofit / ESPC",$L51="Retrofit + state stack"),$B$142,IF($L51="New build / PPEA",$B$144,$B$143))</f>
        <v>0.7</v>
      </c>
      <c r="O51" s="35">
        <f>IF($D51="On Nov 2026 ballot",$B$145,IF($D51="Levying since 2020-23",$B$147,IF($D51="Deferred, eyeing 2027",$B$148,$B$146)))</f>
        <v>0.8</v>
      </c>
      <c r="P51" s="34">
        <f>IF($E51=0,"",($F51/MAX($F$6:$F$138))^0.38*100*$N51*$O51)</f>
        <v>14.50217923778346</v>
      </c>
      <c r="Q51" s="48" t="str">
        <f>IF($E51=0,"","P"&amp;MIN(4,ROUNDUP(RANK($P51,$P$6:$P$138)/COUNT($P$6:$P$138)*4,0)))</f>
        <v>P2</v>
      </c>
      <c r="R51" s="3" t="str">
        <f>IF($D51="On Nov 2026 ballot","Wave 1 - position before the vote",IF($D51="Deferred, eyeing 2027","Wave 3 - 2027 referendum cycle",IF($D51="Levying since 2020-23","Wave 2 - next phase / displace incumbent","Wave 1 - VERIFY referendum status first")))</f>
        <v>Wave 1 - VERIFY referendum status first</v>
      </c>
      <c r="S51" s="3" t="str">
        <f>IF($L51="Retrofit + state stack","SCAP application support + no-cost condition assessment",IF($L51="Retrofit / ESPC","No-cost facility condition assessment",IF($L51="New build / PPEA","PPEA concept + capital sequencing review",IF($L51="Blended programme","Capital programme structuring review","Targeted HVAC and roof scope review"))))</f>
        <v>Targeted HVAC and roof scope review</v>
      </c>
      <c r="T51" s="49"/>
      <c r="U51" s="49"/>
    </row>
    <row r="52" spans="1:21">
      <c r="A52" s="22" t="str">
        <f>'Opportunity Model'!A52</f>
        <v>James City County</v>
      </c>
      <c r="B52" s="22" t="str">
        <f>'Opportunity Model'!B52</f>
        <v>County</v>
      </c>
      <c r="C52" s="3" t="s">
        <v>345</v>
      </c>
      <c r="D52" s="22" t="str">
        <f>'Opportunity Model'!D52</f>
        <v>No public action found</v>
      </c>
      <c r="E52" s="22">
        <f>'Opportunity Model'!E52</f>
        <v>1</v>
      </c>
      <c r="F52" s="23">
        <f>'Opportunity Model'!G52</f>
        <v>506589498.38012183</v>
      </c>
      <c r="G52" s="23">
        <f>'Opportunity Model'!F52</f>
        <v>17083775.088437434</v>
      </c>
      <c r="H52" s="45">
        <f>'Region Needs Profile'!B7</f>
        <v>1.43E-2</v>
      </c>
      <c r="I52" s="46">
        <f>'Region Needs Profile'!C7</f>
        <v>50</v>
      </c>
      <c r="J52" s="47">
        <f>'Region Needs Profile'!P7</f>
        <v>-8.3941601847190412</v>
      </c>
      <c r="K52" s="3" t="str">
        <f>IF($F52&gt;=PERCENTILE($F$6:$F$138,0.75),"High",IF($F52&gt;=PERCENTILE($F$6:$F$138,0.4),"Moderate","Low"))</f>
        <v>High</v>
      </c>
      <c r="L52" s="3" t="str">
        <f>IF($J52&gt;=40,"New build / PPEA",IF($J52&lt;=-40,IF($K52="Low","Retrofit + state stack","Retrofit / ESPC"),IF($K52="High","Blended programme","Selective retrofit")))</f>
        <v>Blended programme</v>
      </c>
      <c r="M52" s="3" t="str">
        <f>IF($L52="New build / PPEA","Levy-backed debt + PPEA availability payment + SCAP 10%",IF($L52="Retrofit + state stack","SCAP 20-30% + Literary Fund + levy + guaranteed savings",IF($L52="Retrofit / ESPC","Levy + guaranteed savings + VPSA pooled bond",IF($L52="Blended programme","Levy-backed debt + ESPC on the retained estate","SCAP + Literary Fund + guaranteed savings"))))</f>
        <v>Levy-backed debt + ESPC on the retained estate</v>
      </c>
      <c r="N52" s="35">
        <f>IF(OR($L52="Retrofit / ESPC",$L52="Retrofit + state stack"),$B$142,IF($L52="New build / PPEA",$B$144,$B$143))</f>
        <v>0.7</v>
      </c>
      <c r="O52" s="35">
        <f>IF($D52="On Nov 2026 ballot",$B$145,IF($D52="Levying since 2020-23",$B$147,IF($D52="Deferred, eyeing 2027",$B$148,$B$146)))</f>
        <v>0.8</v>
      </c>
      <c r="P52" s="34">
        <f>IF($E52=0,"",($F52/MAX($F$6:$F$138))^0.38*100*$N52*$O52)</f>
        <v>19.758615782977181</v>
      </c>
      <c r="Q52" s="48" t="str">
        <f>IF($E52=0,"","P"&amp;MIN(4,ROUNDUP(RANK($P52,$P$6:$P$138)/COUNT($P$6:$P$138)*4,0)))</f>
        <v>P1</v>
      </c>
      <c r="R52" s="3" t="str">
        <f>IF($D52="On Nov 2026 ballot","Wave 1 - position before the vote",IF($D52="Deferred, eyeing 2027","Wave 3 - 2027 referendum cycle",IF($D52="Levying since 2020-23","Wave 2 - next phase / displace incumbent","Wave 1 - VERIFY referendum status first")))</f>
        <v>Wave 1 - VERIFY referendum status first</v>
      </c>
      <c r="S52" s="3" t="str">
        <f>IF($L52="Retrofit + state stack","SCAP application support + no-cost condition assessment",IF($L52="Retrofit / ESPC","No-cost facility condition assessment",IF($L52="New build / PPEA","PPEA concept + capital sequencing review",IF($L52="Blended programme","Capital programme structuring review","Targeted HVAC and roof scope review"))))</f>
        <v>Capital programme structuring review</v>
      </c>
      <c r="T52" s="49"/>
      <c r="U52" s="49"/>
    </row>
    <row r="53" spans="1:21">
      <c r="A53" s="50" t="str">
        <f>'Opportunity Model'!A53</f>
        <v>King George County</v>
      </c>
      <c r="B53" s="50" t="str">
        <f>'Opportunity Model'!B53</f>
        <v>County</v>
      </c>
      <c r="C53" s="51" t="s">
        <v>346</v>
      </c>
      <c r="D53" s="50" t="str">
        <f>'Opportunity Model'!D53</f>
        <v>No public action found</v>
      </c>
      <c r="E53" s="50">
        <f>'Opportunity Model'!E53</f>
        <v>1</v>
      </c>
      <c r="F53" s="52">
        <f>'Opportunity Model'!G53</f>
        <v>175392751.86581913</v>
      </c>
      <c r="G53" s="52">
        <f>'Opportunity Model'!F53</f>
        <v>5282676.7240524581</v>
      </c>
      <c r="H53" s="53">
        <f>'Region Needs Profile'!B8</f>
        <v>0.1108</v>
      </c>
      <c r="I53" s="54">
        <f>'Region Needs Profile'!C8</f>
        <v>32</v>
      </c>
      <c r="J53" s="55">
        <f>'Region Needs Profile'!P8</f>
        <v>86.269915651358943</v>
      </c>
      <c r="K53" s="51" t="str">
        <f>IF($F53&gt;=PERCENTILE($F$6:$F$138,0.75),"High",IF($F53&gt;=PERCENTILE($F$6:$F$138,0.4),"Moderate","Low"))</f>
        <v>Moderate</v>
      </c>
      <c r="L53" s="51" t="str">
        <f>IF($J53&gt;=40,"New build / PPEA",IF($J53&lt;=-40,IF($K53="Low","Retrofit + state stack","Retrofit / ESPC"),IF($K53="High","Blended programme","Selective retrofit")))</f>
        <v>New build / PPEA</v>
      </c>
      <c r="M53" s="51" t="str">
        <f>IF($L53="New build / PPEA","Levy-backed debt + PPEA availability payment + SCAP 10%",IF($L53="Retrofit + state stack","SCAP 20-30% + Literary Fund + levy + guaranteed savings",IF($L53="Retrofit / ESPC","Levy + guaranteed savings + VPSA pooled bond",IF($L53="Blended programme","Levy-backed debt + ESPC on the retained estate","SCAP + Literary Fund + guaranteed savings"))))</f>
        <v>Levy-backed debt + PPEA availability payment + SCAP 10%</v>
      </c>
      <c r="N53" s="35">
        <f>IF(OR($L53="Retrofit / ESPC",$L53="Retrofit + state stack"),$B$142,IF($L53="New build / PPEA",$B$144,$B$143))</f>
        <v>0.45</v>
      </c>
      <c r="O53" s="35">
        <f>IF($D53="On Nov 2026 ballot",$B$145,IF($D53="Levying since 2020-23",$B$147,IF($D53="Deferred, eyeing 2027",$B$148,$B$146)))</f>
        <v>0.8</v>
      </c>
      <c r="P53" s="34">
        <f>IF($E53=0,"",($F53/MAX($F$6:$F$138))^0.38*100*$N53*$O53)</f>
        <v>8.4884044543700021</v>
      </c>
      <c r="Q53" s="48" t="str">
        <f>IF($E53=0,"","P"&amp;MIN(4,ROUNDUP(RANK($P53,$P$6:$P$138)/COUNT($P$6:$P$138)*4,0)))</f>
        <v>P3</v>
      </c>
      <c r="R53" s="3" t="str">
        <f>IF($D53="On Nov 2026 ballot","Wave 1 - position before the vote",IF($D53="Deferred, eyeing 2027","Wave 3 - 2027 referendum cycle",IF($D53="Levying since 2020-23","Wave 2 - next phase / displace incumbent","Wave 1 - VERIFY referendum status first")))</f>
        <v>Wave 1 - VERIFY referendum status first</v>
      </c>
      <c r="S53" s="3" t="str">
        <f>IF($L53="Retrofit + state stack","SCAP application support + no-cost condition assessment",IF($L53="Retrofit / ESPC","No-cost facility condition assessment",IF($L53="New build / PPEA","PPEA concept + capital sequencing review",IF($L53="Blended programme","Capital programme structuring review","Targeted HVAC and roof scope review"))))</f>
        <v>PPEA concept + capital sequencing review</v>
      </c>
      <c r="T53" s="49"/>
      <c r="U53" s="49"/>
    </row>
    <row r="54" spans="1:21">
      <c r="A54" s="22" t="str">
        <f>'Opportunity Model'!A54</f>
        <v>King William County</v>
      </c>
      <c r="B54" s="22" t="str">
        <f>'Opportunity Model'!B54</f>
        <v>County</v>
      </c>
      <c r="C54" s="3" t="s">
        <v>346</v>
      </c>
      <c r="D54" s="22" t="str">
        <f>'Opportunity Model'!D54</f>
        <v>No public action found</v>
      </c>
      <c r="E54" s="22">
        <f>'Opportunity Model'!E54</f>
        <v>1</v>
      </c>
      <c r="F54" s="23">
        <f>'Opportunity Model'!G54</f>
        <v>83835728.023485944</v>
      </c>
      <c r="G54" s="23">
        <f>'Opportunity Model'!F54</f>
        <v>2667715.7571320478</v>
      </c>
      <c r="H54" s="45">
        <f>'Region Needs Profile'!B8</f>
        <v>0.1108</v>
      </c>
      <c r="I54" s="46">
        <f>'Region Needs Profile'!C8</f>
        <v>32</v>
      </c>
      <c r="J54" s="47">
        <f>'Region Needs Profile'!P8</f>
        <v>86.269915651358943</v>
      </c>
      <c r="K54" s="3" t="str">
        <f>IF($F54&gt;=PERCENTILE($F$6:$F$138,0.75),"High",IF($F54&gt;=PERCENTILE($F$6:$F$138,0.4),"Moderate","Low"))</f>
        <v>Low</v>
      </c>
      <c r="L54" s="3" t="str">
        <f>IF($J54&gt;=40,"New build / PPEA",IF($J54&lt;=-40,IF($K54="Low","Retrofit + state stack","Retrofit / ESPC"),IF($K54="High","Blended programme","Selective retrofit")))</f>
        <v>New build / PPEA</v>
      </c>
      <c r="M54" s="3" t="str">
        <f>IF($L54="New build / PPEA","Levy-backed debt + PPEA availability payment + SCAP 10%",IF($L54="Retrofit + state stack","SCAP 20-30% + Literary Fund + levy + guaranteed savings",IF($L54="Retrofit / ESPC","Levy + guaranteed savings + VPSA pooled bond",IF($L54="Blended programme","Levy-backed debt + ESPC on the retained estate","SCAP + Literary Fund + guaranteed savings"))))</f>
        <v>Levy-backed debt + PPEA availability payment + SCAP 10%</v>
      </c>
      <c r="N54" s="35">
        <f>IF(OR($L54="Retrofit / ESPC",$L54="Retrofit + state stack"),$B$142,IF($L54="New build / PPEA",$B$144,$B$143))</f>
        <v>0.45</v>
      </c>
      <c r="O54" s="35">
        <f>IF($D54="On Nov 2026 ballot",$B$145,IF($D54="Levying since 2020-23",$B$147,IF($D54="Deferred, eyeing 2027",$B$148,$B$146)))</f>
        <v>0.8</v>
      </c>
      <c r="P54" s="34">
        <f>IF($E54=0,"",($F54/MAX($F$6:$F$138))^0.38*100*$N54*$O54)</f>
        <v>6.4121653628905015</v>
      </c>
      <c r="Q54" s="48" t="str">
        <f>IF($E54=0,"","P"&amp;MIN(4,ROUNDUP(RANK($P54,$P$6:$P$138)/COUNT($P$6:$P$138)*4,0)))</f>
        <v>P4</v>
      </c>
      <c r="R54" s="3" t="str">
        <f>IF($D54="On Nov 2026 ballot","Wave 1 - position before the vote",IF($D54="Deferred, eyeing 2027","Wave 3 - 2027 referendum cycle",IF($D54="Levying since 2020-23","Wave 2 - next phase / displace incumbent","Wave 1 - VERIFY referendum status first")))</f>
        <v>Wave 1 - VERIFY referendum status first</v>
      </c>
      <c r="S54" s="3" t="str">
        <f>IF($L54="Retrofit + state stack","SCAP application support + no-cost condition assessment",IF($L54="Retrofit / ESPC","No-cost facility condition assessment",IF($L54="New build / PPEA","PPEA concept + capital sequencing review",IF($L54="Blended programme","Capital programme structuring review","Targeted HVAC and roof scope review"))))</f>
        <v>PPEA concept + capital sequencing review</v>
      </c>
      <c r="T54" s="49"/>
      <c r="U54" s="49"/>
    </row>
    <row r="55" spans="1:21">
      <c r="A55" s="50" t="str">
        <f>'Opportunity Model'!A55</f>
        <v>King and Queen County</v>
      </c>
      <c r="B55" s="50" t="str">
        <f>'Opportunity Model'!B55</f>
        <v>County</v>
      </c>
      <c r="C55" s="51" t="s">
        <v>346</v>
      </c>
      <c r="D55" s="50" t="str">
        <f>'Opportunity Model'!D55</f>
        <v>On Nov 2026 ballot</v>
      </c>
      <c r="E55" s="50">
        <f>'Opportunity Model'!E55</f>
        <v>1</v>
      </c>
      <c r="F55" s="52">
        <f>'Opportunity Model'!G55</f>
        <v>13708934.766023342</v>
      </c>
      <c r="G55" s="52">
        <f>'Opportunity Model'!F55</f>
        <v>489242.13003058714</v>
      </c>
      <c r="H55" s="53">
        <f>'Region Needs Profile'!B8</f>
        <v>0.1108</v>
      </c>
      <c r="I55" s="54">
        <f>'Region Needs Profile'!C8</f>
        <v>32</v>
      </c>
      <c r="J55" s="55">
        <f>'Region Needs Profile'!P8</f>
        <v>86.269915651358943</v>
      </c>
      <c r="K55" s="51" t="str">
        <f>IF($F55&gt;=PERCENTILE($F$6:$F$138,0.75),"High",IF($F55&gt;=PERCENTILE($F$6:$F$138,0.4),"Moderate","Low"))</f>
        <v>Low</v>
      </c>
      <c r="L55" s="51" t="str">
        <f>IF($J55&gt;=40,"New build / PPEA",IF($J55&lt;=-40,IF($K55="Low","Retrofit + state stack","Retrofit / ESPC"),IF($K55="High","Blended programme","Selective retrofit")))</f>
        <v>New build / PPEA</v>
      </c>
      <c r="M55" s="51" t="str">
        <f>IF($L55="New build / PPEA","Levy-backed debt + PPEA availability payment + SCAP 10%",IF($L55="Retrofit + state stack","SCAP 20-30% + Literary Fund + levy + guaranteed savings",IF($L55="Retrofit / ESPC","Levy + guaranteed savings + VPSA pooled bond",IF($L55="Blended programme","Levy-backed debt + ESPC on the retained estate","SCAP + Literary Fund + guaranteed savings"))))</f>
        <v>Levy-backed debt + PPEA availability payment + SCAP 10%</v>
      </c>
      <c r="N55" s="35">
        <f>IF(OR($L55="Retrofit / ESPC",$L55="Retrofit + state stack"),$B$142,IF($L55="New build / PPEA",$B$144,$B$143))</f>
        <v>0.45</v>
      </c>
      <c r="O55" s="35">
        <f>IF($D55="On Nov 2026 ballot",$B$145,IF($D55="Levying since 2020-23",$B$147,IF($D55="Deferred, eyeing 2027",$B$148,$B$146)))</f>
        <v>1</v>
      </c>
      <c r="P55" s="34">
        <f>IF($E55=0,"",($F55/MAX($F$6:$F$138))^0.38*100*$N55*$O55)</f>
        <v>4.0278479094578454</v>
      </c>
      <c r="Q55" s="48" t="str">
        <f>IF($E55=0,"","P"&amp;MIN(4,ROUNDUP(RANK($P55,$P$6:$P$138)/COUNT($P$6:$P$138)*4,0)))</f>
        <v>P4</v>
      </c>
      <c r="R55" s="3" t="str">
        <f>IF($D55="On Nov 2026 ballot","Wave 1 - position before the vote",IF($D55="Deferred, eyeing 2027","Wave 3 - 2027 referendum cycle",IF($D55="Levying since 2020-23","Wave 2 - next phase / displace incumbent","Wave 1 - VERIFY referendum status first")))</f>
        <v>Wave 1 - position before the vote</v>
      </c>
      <c r="S55" s="3" t="str">
        <f>IF($L55="Retrofit + state stack","SCAP application support + no-cost condition assessment",IF($L55="Retrofit / ESPC","No-cost facility condition assessment",IF($L55="New build / PPEA","PPEA concept + capital sequencing review",IF($L55="Blended programme","Capital programme structuring review","Targeted HVAC and roof scope review"))))</f>
        <v>PPEA concept + capital sequencing review</v>
      </c>
      <c r="T55" s="49"/>
      <c r="U55" s="49"/>
    </row>
    <row r="56" spans="1:21">
      <c r="A56" s="22" t="str">
        <f>'Opportunity Model'!A56</f>
        <v>Lancaster County</v>
      </c>
      <c r="B56" s="22" t="str">
        <f>'Opportunity Model'!B56</f>
        <v>County</v>
      </c>
      <c r="C56" s="3" t="s">
        <v>346</v>
      </c>
      <c r="D56" s="22" t="str">
        <f>'Opportunity Model'!D56</f>
        <v>No public action found</v>
      </c>
      <c r="E56" s="22">
        <f>'Opportunity Model'!E56</f>
        <v>1</v>
      </c>
      <c r="F56" s="23">
        <f>'Opportunity Model'!G56</f>
        <v>102114896.13674173</v>
      </c>
      <c r="G56" s="23">
        <f>'Opportunity Model'!F56</f>
        <v>3249731.2015415234</v>
      </c>
      <c r="H56" s="45">
        <f>'Region Needs Profile'!B8</f>
        <v>0.1108</v>
      </c>
      <c r="I56" s="46">
        <f>'Region Needs Profile'!C8</f>
        <v>32</v>
      </c>
      <c r="J56" s="47">
        <f>'Region Needs Profile'!P8</f>
        <v>86.269915651358943</v>
      </c>
      <c r="K56" s="3" t="str">
        <f>IF($F56&gt;=PERCENTILE($F$6:$F$138,0.75),"High",IF($F56&gt;=PERCENTILE($F$6:$F$138,0.4),"Moderate","Low"))</f>
        <v>Low</v>
      </c>
      <c r="L56" s="3" t="str">
        <f>IF($J56&gt;=40,"New build / PPEA",IF($J56&lt;=-40,IF($K56="Low","Retrofit + state stack","Retrofit / ESPC"),IF($K56="High","Blended programme","Selective retrofit")))</f>
        <v>New build / PPEA</v>
      </c>
      <c r="M56" s="3" t="str">
        <f>IF($L56="New build / PPEA","Levy-backed debt + PPEA availability payment + SCAP 10%",IF($L56="Retrofit + state stack","SCAP 20-30% + Literary Fund + levy + guaranteed savings",IF($L56="Retrofit / ESPC","Levy + guaranteed savings + VPSA pooled bond",IF($L56="Blended programme","Levy-backed debt + ESPC on the retained estate","SCAP + Literary Fund + guaranteed savings"))))</f>
        <v>Levy-backed debt + PPEA availability payment + SCAP 10%</v>
      </c>
      <c r="N56" s="35">
        <f>IF(OR($L56="Retrofit / ESPC",$L56="Retrofit + state stack"),$B$142,IF($L56="New build / PPEA",$B$144,$B$143))</f>
        <v>0.45</v>
      </c>
      <c r="O56" s="35">
        <f>IF($D56="On Nov 2026 ballot",$B$145,IF($D56="Levying since 2020-23",$B$147,IF($D56="Deferred, eyeing 2027",$B$148,$B$146)))</f>
        <v>0.8</v>
      </c>
      <c r="P56" s="34">
        <f>IF($E56=0,"",($F56/MAX($F$6:$F$138))^0.38*100*$N56*$O56)</f>
        <v>6.9112324252930009</v>
      </c>
      <c r="Q56" s="48" t="str">
        <f>IF($E56=0,"","P"&amp;MIN(4,ROUNDUP(RANK($P56,$P$6:$P$138)/COUNT($P$6:$P$138)*4,0)))</f>
        <v>P4</v>
      </c>
      <c r="R56" s="3" t="str">
        <f>IF($D56="On Nov 2026 ballot","Wave 1 - position before the vote",IF($D56="Deferred, eyeing 2027","Wave 3 - 2027 referendum cycle",IF($D56="Levying since 2020-23","Wave 2 - next phase / displace incumbent","Wave 1 - VERIFY referendum status first")))</f>
        <v>Wave 1 - VERIFY referendum status first</v>
      </c>
      <c r="S56" s="3" t="str">
        <f>IF($L56="Retrofit + state stack","SCAP application support + no-cost condition assessment",IF($L56="Retrofit / ESPC","No-cost facility condition assessment",IF($L56="New build / PPEA","PPEA concept + capital sequencing review",IF($L56="Blended programme","Capital programme structuring review","Targeted HVAC and roof scope review"))))</f>
        <v>PPEA concept + capital sequencing review</v>
      </c>
      <c r="T56" s="49"/>
      <c r="U56" s="49"/>
    </row>
    <row r="57" spans="1:21">
      <c r="A57" s="50" t="str">
        <f>'Opportunity Model'!A57</f>
        <v>Lee County</v>
      </c>
      <c r="B57" s="50" t="str">
        <f>'Opportunity Model'!B57</f>
        <v>County</v>
      </c>
      <c r="C57" s="51" t="s">
        <v>350</v>
      </c>
      <c r="D57" s="50" t="str">
        <f>'Opportunity Model'!D57</f>
        <v>No public action found</v>
      </c>
      <c r="E57" s="50">
        <f>'Opportunity Model'!E57</f>
        <v>1</v>
      </c>
      <c r="F57" s="52">
        <f>'Opportunity Model'!G57</f>
        <v>65116593.164709762</v>
      </c>
      <c r="G57" s="52">
        <f>'Opportunity Model'!F57</f>
        <v>2332180.3360034176</v>
      </c>
      <c r="H57" s="53">
        <f>'Region Needs Profile'!B12</f>
        <v>-0.10009999999999999</v>
      </c>
      <c r="I57" s="54">
        <f>'Region Needs Profile'!C12</f>
        <v>58</v>
      </c>
      <c r="J57" s="55">
        <f>'Region Needs Profile'!P12</f>
        <v>-93.064667291471423</v>
      </c>
      <c r="K57" s="51" t="str">
        <f>IF($F57&gt;=PERCENTILE($F$6:$F$138,0.75),"High",IF($F57&gt;=PERCENTILE($F$6:$F$138,0.4),"Moderate","Low"))</f>
        <v>Low</v>
      </c>
      <c r="L57" s="51" t="str">
        <f>IF($J57&gt;=40,"New build / PPEA",IF($J57&lt;=-40,IF($K57="Low","Retrofit + state stack","Retrofit / ESPC"),IF($K57="High","Blended programme","Selective retrofit")))</f>
        <v>Retrofit + state stack</v>
      </c>
      <c r="M57" s="51" t="str">
        <f>IF($L57="New build / PPEA","Levy-backed debt + PPEA availability payment + SCAP 10%",IF($L57="Retrofit + state stack","SCAP 20-30% + Literary Fund + levy + guaranteed savings",IF($L57="Retrofit / ESPC","Levy + guaranteed savings + VPSA pooled bond",IF($L57="Blended programme","Levy-backed debt + ESPC on the retained estate","SCAP + Literary Fund + guaranteed savings"))))</f>
        <v>SCAP 20-30% + Literary Fund + levy + guaranteed savings</v>
      </c>
      <c r="N57" s="35">
        <f>IF(OR($L57="Retrofit / ESPC",$L57="Retrofit + state stack"),$B$142,IF($L57="New build / PPEA",$B$144,$B$143))</f>
        <v>1</v>
      </c>
      <c r="O57" s="35">
        <f>IF($D57="On Nov 2026 ballot",$B$145,IF($D57="Levying since 2020-23",$B$147,IF($D57="Deferred, eyeing 2027",$B$148,$B$146)))</f>
        <v>0.8</v>
      </c>
      <c r="P57" s="34">
        <f>IF($E57=0,"",($F57/MAX($F$6:$F$138))^0.38*100*$N57*$O57)</f>
        <v>12.94469915822976</v>
      </c>
      <c r="Q57" s="48" t="str">
        <f>IF($E57=0,"","P"&amp;MIN(4,ROUNDUP(RANK($P57,$P$6:$P$138)/COUNT($P$6:$P$138)*4,0)))</f>
        <v>P3</v>
      </c>
      <c r="R57" s="3" t="str">
        <f>IF($D57="On Nov 2026 ballot","Wave 1 - position before the vote",IF($D57="Deferred, eyeing 2027","Wave 3 - 2027 referendum cycle",IF($D57="Levying since 2020-23","Wave 2 - next phase / displace incumbent","Wave 1 - VERIFY referendum status first")))</f>
        <v>Wave 1 - VERIFY referendum status first</v>
      </c>
      <c r="S57" s="3" t="str">
        <f>IF($L57="Retrofit + state stack","SCAP application support + no-cost condition assessment",IF($L57="Retrofit / ESPC","No-cost facility condition assessment",IF($L57="New build / PPEA","PPEA concept + capital sequencing review",IF($L57="Blended programme","Capital programme structuring review","Targeted HVAC and roof scope review"))))</f>
        <v>SCAP application support + no-cost condition assessment</v>
      </c>
      <c r="T57" s="49"/>
      <c r="U57" s="49"/>
    </row>
    <row r="58" spans="1:21">
      <c r="A58" s="22" t="str">
        <f>'Opportunity Model'!A58</f>
        <v>Loudoun County</v>
      </c>
      <c r="B58" s="22" t="str">
        <f>'Opportunity Model'!B58</f>
        <v>County</v>
      </c>
      <c r="C58" s="3" t="s">
        <v>347</v>
      </c>
      <c r="D58" s="22" t="str">
        <f>'Opportunity Model'!D58</f>
        <v>No public action found</v>
      </c>
      <c r="E58" s="22">
        <f>'Opportunity Model'!E58</f>
        <v>1</v>
      </c>
      <c r="F58" s="23">
        <f>'Opportunity Model'!G58</f>
        <v>4042572292.4391527</v>
      </c>
      <c r="G58" s="23">
        <f>'Opportunity Model'!F58</f>
        <v>132564694.18501107</v>
      </c>
      <c r="H58" s="45">
        <f>'Region Needs Profile'!B9</f>
        <v>7.9399999999999998E-2</v>
      </c>
      <c r="I58" s="46">
        <f>'Region Needs Profile'!C9</f>
        <v>48</v>
      </c>
      <c r="J58" s="47">
        <f>'Region Needs Profile'!P9</f>
        <v>54.342196447459614</v>
      </c>
      <c r="K58" s="3" t="str">
        <f>IF($F58&gt;=PERCENTILE($F$6:$F$138,0.75),"High",IF($F58&gt;=PERCENTILE($F$6:$F$138,0.4),"Moderate","Low"))</f>
        <v>High</v>
      </c>
      <c r="L58" s="3" t="str">
        <f>IF($J58&gt;=40,"New build / PPEA",IF($J58&lt;=-40,IF($K58="Low","Retrofit + state stack","Retrofit / ESPC"),IF($K58="High","Blended programme","Selective retrofit")))</f>
        <v>New build / PPEA</v>
      </c>
      <c r="M58" s="3" t="str">
        <f>IF($L58="New build / PPEA","Levy-backed debt + PPEA availability payment + SCAP 10%",IF($L58="Retrofit + state stack","SCAP 20-30% + Literary Fund + levy + guaranteed savings",IF($L58="Retrofit / ESPC","Levy + guaranteed savings + VPSA pooled bond",IF($L58="Blended programme","Levy-backed debt + ESPC on the retained estate","SCAP + Literary Fund + guaranteed savings"))))</f>
        <v>Levy-backed debt + PPEA availability payment + SCAP 10%</v>
      </c>
      <c r="N58" s="35">
        <f>IF(OR($L58="Retrofit / ESPC",$L58="Retrofit + state stack"),$B$142,IF($L58="New build / PPEA",$B$144,$B$143))</f>
        <v>0.45</v>
      </c>
      <c r="O58" s="35">
        <f>IF($D58="On Nov 2026 ballot",$B$145,IF($D58="Levying since 2020-23",$B$147,IF($D58="Deferred, eyeing 2027",$B$148,$B$146)))</f>
        <v>0.8</v>
      </c>
      <c r="P58" s="34">
        <f>IF($E58=0,"",($F58/MAX($F$6:$F$138))^0.38*100*$N58*$O58)</f>
        <v>27.966080453440306</v>
      </c>
      <c r="Q58" s="48" t="str">
        <f>IF($E58=0,"","P"&amp;MIN(4,ROUNDUP(RANK($P58,$P$6:$P$138)/COUNT($P$6:$P$138)*4,0)))</f>
        <v>P1</v>
      </c>
      <c r="R58" s="3" t="str">
        <f>IF($D58="On Nov 2026 ballot","Wave 1 - position before the vote",IF($D58="Deferred, eyeing 2027","Wave 3 - 2027 referendum cycle",IF($D58="Levying since 2020-23","Wave 2 - next phase / displace incumbent","Wave 1 - VERIFY referendum status first")))</f>
        <v>Wave 1 - VERIFY referendum status first</v>
      </c>
      <c r="S58" s="3" t="str">
        <f>IF($L58="Retrofit + state stack","SCAP application support + no-cost condition assessment",IF($L58="Retrofit / ESPC","No-cost facility condition assessment",IF($L58="New build / PPEA","PPEA concept + capital sequencing review",IF($L58="Blended programme","Capital programme structuring review","Targeted HVAC and roof scope review"))))</f>
        <v>PPEA concept + capital sequencing review</v>
      </c>
      <c r="T58" s="49"/>
      <c r="U58" s="49"/>
    </row>
    <row r="59" spans="1:21">
      <c r="A59" s="50" t="str">
        <f>'Opportunity Model'!A59</f>
        <v>Louisa County</v>
      </c>
      <c r="B59" s="50" t="str">
        <f>'Opportunity Model'!B59</f>
        <v>County</v>
      </c>
      <c r="C59" s="51" t="s">
        <v>348</v>
      </c>
      <c r="D59" s="50" t="str">
        <f>'Opportunity Model'!D59</f>
        <v>No public action found</v>
      </c>
      <c r="E59" s="50">
        <f>'Opportunity Model'!E59</f>
        <v>1</v>
      </c>
      <c r="F59" s="52">
        <f>'Opportunity Model'!G59</f>
        <v>288932692.95943171</v>
      </c>
      <c r="G59" s="52">
        <f>'Opportunity Model'!F59</f>
        <v>8317554.6864050115</v>
      </c>
      <c r="H59" s="53">
        <f>'Region Needs Profile'!B10</f>
        <v>3.0099999999999998E-2</v>
      </c>
      <c r="I59" s="54">
        <f>'Region Needs Profile'!C10</f>
        <v>55</v>
      </c>
      <c r="J59" s="55">
        <f>'Region Needs Profile'!P10</f>
        <v>10.405306444373188</v>
      </c>
      <c r="K59" s="51" t="str">
        <f>IF($F59&gt;=PERCENTILE($F$6:$F$138,0.75),"High",IF($F59&gt;=PERCENTILE($F$6:$F$138,0.4),"Moderate","Low"))</f>
        <v>Moderate</v>
      </c>
      <c r="L59" s="51" t="str">
        <f>IF($J59&gt;=40,"New build / PPEA",IF($J59&lt;=-40,IF($K59="Low","Retrofit + state stack","Retrofit / ESPC"),IF($K59="High","Blended programme","Selective retrofit")))</f>
        <v>Selective retrofit</v>
      </c>
      <c r="M59" s="51" t="str">
        <f>IF($L59="New build / PPEA","Levy-backed debt + PPEA availability payment + SCAP 10%",IF($L59="Retrofit + state stack","SCAP 20-30% + Literary Fund + levy + guaranteed savings",IF($L59="Retrofit / ESPC","Levy + guaranteed savings + VPSA pooled bond",IF($L59="Blended programme","Levy-backed debt + ESPC on the retained estate","SCAP + Literary Fund + guaranteed savings"))))</f>
        <v>SCAP + Literary Fund + guaranteed savings</v>
      </c>
      <c r="N59" s="35">
        <f>IF(OR($L59="Retrofit / ESPC",$L59="Retrofit + state stack"),$B$142,IF($L59="New build / PPEA",$B$144,$B$143))</f>
        <v>0.7</v>
      </c>
      <c r="O59" s="35">
        <f>IF($D59="On Nov 2026 ballot",$B$145,IF($D59="Levying since 2020-23",$B$147,IF($D59="Deferred, eyeing 2027",$B$148,$B$146)))</f>
        <v>0.8</v>
      </c>
      <c r="P59" s="34">
        <f>IF($E59=0,"",($F59/MAX($F$6:$F$138))^0.38*100*$N59*$O59)</f>
        <v>15.962095589827669</v>
      </c>
      <c r="Q59" s="48" t="str">
        <f>IF($E59=0,"","P"&amp;MIN(4,ROUNDUP(RANK($P59,$P$6:$P$138)/COUNT($P$6:$P$138)*4,0)))</f>
        <v>P2</v>
      </c>
      <c r="R59" s="3" t="str">
        <f>IF($D59="On Nov 2026 ballot","Wave 1 - position before the vote",IF($D59="Deferred, eyeing 2027","Wave 3 - 2027 referendum cycle",IF($D59="Levying since 2020-23","Wave 2 - next phase / displace incumbent","Wave 1 - VERIFY referendum status first")))</f>
        <v>Wave 1 - VERIFY referendum status first</v>
      </c>
      <c r="S59" s="3" t="str">
        <f>IF($L59="Retrofit + state stack","SCAP application support + no-cost condition assessment",IF($L59="Retrofit / ESPC","No-cost facility condition assessment",IF($L59="New build / PPEA","PPEA concept + capital sequencing review",IF($L59="Blended programme","Capital programme structuring review","Targeted HVAC and roof scope review"))))</f>
        <v>Targeted HVAC and roof scope review</v>
      </c>
      <c r="T59" s="49"/>
      <c r="U59" s="49"/>
    </row>
    <row r="60" spans="1:21">
      <c r="A60" s="22" t="str">
        <f>'Opportunity Model'!A60</f>
        <v>Lunenburg County</v>
      </c>
      <c r="B60" s="22" t="str">
        <f>'Opportunity Model'!B60</f>
        <v>County</v>
      </c>
      <c r="C60" s="3" t="s">
        <v>351</v>
      </c>
      <c r="D60" s="22" t="str">
        <f>'Opportunity Model'!D60</f>
        <v>No public action found</v>
      </c>
      <c r="E60" s="22">
        <f>'Opportunity Model'!E60</f>
        <v>1</v>
      </c>
      <c r="F60" s="23">
        <f>'Opportunity Model'!G60</f>
        <v>31341166.289789077</v>
      </c>
      <c r="G60" s="23">
        <f>'Opportunity Model'!F60</f>
        <v>1018851.3955836188</v>
      </c>
      <c r="H60" s="45">
        <f>'Region Needs Profile'!B13</f>
        <v>-7.3999999999999996E-2</v>
      </c>
      <c r="I60" s="46">
        <f>'Region Needs Profile'!C13</f>
        <v>58</v>
      </c>
      <c r="J60" s="47">
        <f>'Region Needs Profile'!P13</f>
        <v>-87.624466571835001</v>
      </c>
      <c r="K60" s="3" t="str">
        <f>IF($F60&gt;=PERCENTILE($F$6:$F$138,0.75),"High",IF($F60&gt;=PERCENTILE($F$6:$F$138,0.4),"Moderate","Low"))</f>
        <v>Low</v>
      </c>
      <c r="L60" s="3" t="str">
        <f>IF($J60&gt;=40,"New build / PPEA",IF($J60&lt;=-40,IF($K60="Low","Retrofit + state stack","Retrofit / ESPC"),IF($K60="High","Blended programme","Selective retrofit")))</f>
        <v>Retrofit + state stack</v>
      </c>
      <c r="M60" s="3" t="str">
        <f>IF($L60="New build / PPEA","Levy-backed debt + PPEA availability payment + SCAP 10%",IF($L60="Retrofit + state stack","SCAP 20-30% + Literary Fund + levy + guaranteed savings",IF($L60="Retrofit / ESPC","Levy + guaranteed savings + VPSA pooled bond",IF($L60="Blended programme","Levy-backed debt + ESPC on the retained estate","SCAP + Literary Fund + guaranteed savings"))))</f>
        <v>SCAP 20-30% + Literary Fund + levy + guaranteed savings</v>
      </c>
      <c r="N60" s="35">
        <f>IF(OR($L60="Retrofit / ESPC",$L60="Retrofit + state stack"),$B$142,IF($L60="New build / PPEA",$B$144,$B$143))</f>
        <v>1</v>
      </c>
      <c r="O60" s="35">
        <f>IF($D60="On Nov 2026 ballot",$B$145,IF($D60="Levying since 2020-23",$B$147,IF($D60="Deferred, eyeing 2027",$B$148,$B$146)))</f>
        <v>0.8</v>
      </c>
      <c r="P60" s="34">
        <f>IF($E60=0,"",($F60/MAX($F$6:$F$138))^0.38*100*$N60*$O60)</f>
        <v>9.8042163262118649</v>
      </c>
      <c r="Q60" s="48" t="str">
        <f>IF($E60=0,"","P"&amp;MIN(4,ROUNDUP(RANK($P60,$P$6:$P$138)/COUNT($P$6:$P$138)*4,0)))</f>
        <v>P3</v>
      </c>
      <c r="R60" s="3" t="str">
        <f>IF($D60="On Nov 2026 ballot","Wave 1 - position before the vote",IF($D60="Deferred, eyeing 2027","Wave 3 - 2027 referendum cycle",IF($D60="Levying since 2020-23","Wave 2 - next phase / displace incumbent","Wave 1 - VERIFY referendum status first")))</f>
        <v>Wave 1 - VERIFY referendum status first</v>
      </c>
      <c r="S60" s="3" t="str">
        <f>IF($L60="Retrofit + state stack","SCAP application support + no-cost condition assessment",IF($L60="Retrofit / ESPC","No-cost facility condition assessment",IF($L60="New build / PPEA","PPEA concept + capital sequencing review",IF($L60="Blended programme","Capital programme structuring review","Targeted HVAC and roof scope review"))))</f>
        <v>SCAP application support + no-cost condition assessment</v>
      </c>
      <c r="T60" s="49"/>
      <c r="U60" s="49"/>
    </row>
    <row r="61" spans="1:21">
      <c r="A61" s="50" t="str">
        <f>'Opportunity Model'!A61</f>
        <v>Madison County</v>
      </c>
      <c r="B61" s="50" t="str">
        <f>'Opportunity Model'!B61</f>
        <v>County</v>
      </c>
      <c r="C61" s="51" t="s">
        <v>347</v>
      </c>
      <c r="D61" s="50" t="str">
        <f>'Opportunity Model'!D61</f>
        <v>No public action found</v>
      </c>
      <c r="E61" s="50">
        <f>'Opportunity Model'!E61</f>
        <v>1</v>
      </c>
      <c r="F61" s="52">
        <f>'Opportunity Model'!G61</f>
        <v>58570175.056204528</v>
      </c>
      <c r="G61" s="52">
        <f>'Opportunity Model'!F61</f>
        <v>1909138.1586117384</v>
      </c>
      <c r="H61" s="53">
        <f>'Region Needs Profile'!B9</f>
        <v>7.9399999999999998E-2</v>
      </c>
      <c r="I61" s="54">
        <f>'Region Needs Profile'!C9</f>
        <v>48</v>
      </c>
      <c r="J61" s="55">
        <f>'Region Needs Profile'!P9</f>
        <v>54.342196447459614</v>
      </c>
      <c r="K61" s="51" t="str">
        <f>IF($F61&gt;=PERCENTILE($F$6:$F$138,0.75),"High",IF($F61&gt;=PERCENTILE($F$6:$F$138,0.4),"Moderate","Low"))</f>
        <v>Low</v>
      </c>
      <c r="L61" s="51" t="str">
        <f>IF($J61&gt;=40,"New build / PPEA",IF($J61&lt;=-40,IF($K61="Low","Retrofit + state stack","Retrofit / ESPC"),IF($K61="High","Blended programme","Selective retrofit")))</f>
        <v>New build / PPEA</v>
      </c>
      <c r="M61" s="51" t="str">
        <f>IF($L61="New build / PPEA","Levy-backed debt + PPEA availability payment + SCAP 10%",IF($L61="Retrofit + state stack","SCAP 20-30% + Literary Fund + levy + guaranteed savings",IF($L61="Retrofit / ESPC","Levy + guaranteed savings + VPSA pooled bond",IF($L61="Blended programme","Levy-backed debt + ESPC on the retained estate","SCAP + Literary Fund + guaranteed savings"))))</f>
        <v>Levy-backed debt + PPEA availability payment + SCAP 10%</v>
      </c>
      <c r="N61" s="35">
        <f>IF(OR($L61="Retrofit / ESPC",$L61="Retrofit + state stack"),$B$142,IF($L61="New build / PPEA",$B$144,$B$143))</f>
        <v>0.45</v>
      </c>
      <c r="O61" s="35">
        <f>IF($D61="On Nov 2026 ballot",$B$145,IF($D61="Levying since 2020-23",$B$147,IF($D61="Deferred, eyeing 2027",$B$148,$B$146)))</f>
        <v>0.8</v>
      </c>
      <c r="P61" s="34">
        <f>IF($E61=0,"",($F61/MAX($F$6:$F$138))^0.38*100*$N61*$O61)</f>
        <v>5.5952399904010042</v>
      </c>
      <c r="Q61" s="48" t="str">
        <f>IF($E61=0,"","P"&amp;MIN(4,ROUNDUP(RANK($P61,$P$6:$P$138)/COUNT($P$6:$P$138)*4,0)))</f>
        <v>P4</v>
      </c>
      <c r="R61" s="3" t="str">
        <f>IF($D61="On Nov 2026 ballot","Wave 1 - position before the vote",IF($D61="Deferred, eyeing 2027","Wave 3 - 2027 referendum cycle",IF($D61="Levying since 2020-23","Wave 2 - next phase / displace incumbent","Wave 1 - VERIFY referendum status first")))</f>
        <v>Wave 1 - VERIFY referendum status first</v>
      </c>
      <c r="S61" s="3" t="str">
        <f>IF($L61="Retrofit + state stack","SCAP application support + no-cost condition assessment",IF($L61="Retrofit / ESPC","No-cost facility condition assessment",IF($L61="New build / PPEA","PPEA concept + capital sequencing review",IF($L61="Blended programme","Capital programme structuring review","Targeted HVAC and roof scope review"))))</f>
        <v>PPEA concept + capital sequencing review</v>
      </c>
      <c r="T61" s="49"/>
      <c r="U61" s="49"/>
    </row>
    <row r="62" spans="1:21">
      <c r="A62" s="22" t="str">
        <f>'Opportunity Model'!A62</f>
        <v>Mathews County</v>
      </c>
      <c r="B62" s="22" t="str">
        <f>'Opportunity Model'!B62</f>
        <v>County</v>
      </c>
      <c r="C62" s="3" t="s">
        <v>346</v>
      </c>
      <c r="D62" s="22" t="str">
        <f>'Opportunity Model'!D62</f>
        <v>No public action found</v>
      </c>
      <c r="E62" s="22">
        <f>'Opportunity Model'!E62</f>
        <v>1</v>
      </c>
      <c r="F62" s="23">
        <f>'Opportunity Model'!G62</f>
        <v>30304750.359041695</v>
      </c>
      <c r="G62" s="23">
        <f>'Opportunity Model'!F62</f>
        <v>1031558.6504864905</v>
      </c>
      <c r="H62" s="45">
        <f>'Region Needs Profile'!B8</f>
        <v>0.1108</v>
      </c>
      <c r="I62" s="46">
        <f>'Region Needs Profile'!C8</f>
        <v>32</v>
      </c>
      <c r="J62" s="47">
        <f>'Region Needs Profile'!P8</f>
        <v>86.269915651358943</v>
      </c>
      <c r="K62" s="3" t="str">
        <f>IF($F62&gt;=PERCENTILE($F$6:$F$138,0.75),"High",IF($F62&gt;=PERCENTILE($F$6:$F$138,0.4),"Moderate","Low"))</f>
        <v>Low</v>
      </c>
      <c r="L62" s="3" t="str">
        <f>IF($J62&gt;=40,"New build / PPEA",IF($J62&lt;=-40,IF($K62="Low","Retrofit + state stack","Retrofit / ESPC"),IF($K62="High","Blended programme","Selective retrofit")))</f>
        <v>New build / PPEA</v>
      </c>
      <c r="M62" s="3" t="str">
        <f>IF($L62="New build / PPEA","Levy-backed debt + PPEA availability payment + SCAP 10%",IF($L62="Retrofit + state stack","SCAP 20-30% + Literary Fund + levy + guaranteed savings",IF($L62="Retrofit / ESPC","Levy + guaranteed savings + VPSA pooled bond",IF($L62="Blended programme","Levy-backed debt + ESPC on the retained estate","SCAP + Literary Fund + guaranteed savings"))))</f>
        <v>Levy-backed debt + PPEA availability payment + SCAP 10%</v>
      </c>
      <c r="N62" s="35">
        <f>IF(OR($L62="Retrofit / ESPC",$L62="Retrofit + state stack"),$B$142,IF($L62="New build / PPEA",$B$144,$B$143))</f>
        <v>0.45</v>
      </c>
      <c r="O62" s="35">
        <f>IF($D62="On Nov 2026 ballot",$B$145,IF($D62="Levying since 2020-23",$B$147,IF($D62="Deferred, eyeing 2027",$B$148,$B$146)))</f>
        <v>0.8</v>
      </c>
      <c r="P62" s="34">
        <f>IF($E62=0,"",($F62/MAX($F$6:$F$138))^0.38*100*$N62*$O62)</f>
        <v>4.3558780321874861</v>
      </c>
      <c r="Q62" s="48" t="str">
        <f>IF($E62=0,"","P"&amp;MIN(4,ROUNDUP(RANK($P62,$P$6:$P$138)/COUNT($P$6:$P$138)*4,0)))</f>
        <v>P4</v>
      </c>
      <c r="R62" s="3" t="str">
        <f>IF($D62="On Nov 2026 ballot","Wave 1 - position before the vote",IF($D62="Deferred, eyeing 2027","Wave 3 - 2027 referendum cycle",IF($D62="Levying since 2020-23","Wave 2 - next phase / displace incumbent","Wave 1 - VERIFY referendum status first")))</f>
        <v>Wave 1 - VERIFY referendum status first</v>
      </c>
      <c r="S62" s="3" t="str">
        <f>IF($L62="Retrofit + state stack","SCAP application support + no-cost condition assessment",IF($L62="Retrofit / ESPC","No-cost facility condition assessment",IF($L62="New build / PPEA","PPEA concept + capital sequencing review",IF($L62="Blended programme","Capital programme structuring review","Targeted HVAC and roof scope review"))))</f>
        <v>PPEA concept + capital sequencing review</v>
      </c>
      <c r="T62" s="49"/>
      <c r="U62" s="49"/>
    </row>
    <row r="63" spans="1:21">
      <c r="A63" s="50" t="str">
        <f>'Opportunity Model'!A63</f>
        <v>Mecklenburg County</v>
      </c>
      <c r="B63" s="50" t="str">
        <f>'Opportunity Model'!B63</f>
        <v>County</v>
      </c>
      <c r="C63" s="51" t="s">
        <v>351</v>
      </c>
      <c r="D63" s="50" t="str">
        <f>'Opportunity Model'!D63</f>
        <v>No public action found</v>
      </c>
      <c r="E63" s="50">
        <f>'Opportunity Model'!E63</f>
        <v>1</v>
      </c>
      <c r="F63" s="52">
        <f>'Opportunity Model'!G63</f>
        <v>384072212.60798085</v>
      </c>
      <c r="G63" s="52">
        <f>'Opportunity Model'!F63</f>
        <v>11613925.203414118</v>
      </c>
      <c r="H63" s="53">
        <f>'Region Needs Profile'!B13</f>
        <v>-7.3999999999999996E-2</v>
      </c>
      <c r="I63" s="54">
        <f>'Region Needs Profile'!C13</f>
        <v>58</v>
      </c>
      <c r="J63" s="55">
        <f>'Region Needs Profile'!P13</f>
        <v>-87.624466571835001</v>
      </c>
      <c r="K63" s="51" t="str">
        <f>IF($F63&gt;=PERCENTILE($F$6:$F$138,0.75),"High",IF($F63&gt;=PERCENTILE($F$6:$F$138,0.4),"Moderate","Low"))</f>
        <v>Moderate</v>
      </c>
      <c r="L63" s="51" t="str">
        <f>IF($J63&gt;=40,"New build / PPEA",IF($J63&lt;=-40,IF($K63="Low","Retrofit + state stack","Retrofit / ESPC"),IF($K63="High","Blended programme","Selective retrofit")))</f>
        <v>Retrofit / ESPC</v>
      </c>
      <c r="M63" s="51" t="str">
        <f>IF($L63="New build / PPEA","Levy-backed debt + PPEA availability payment + SCAP 10%",IF($L63="Retrofit + state stack","SCAP 20-30% + Literary Fund + levy + guaranteed savings",IF($L63="Retrofit / ESPC","Levy + guaranteed savings + VPSA pooled bond",IF($L63="Blended programme","Levy-backed debt + ESPC on the retained estate","SCAP + Literary Fund + guaranteed savings"))))</f>
        <v>Levy + guaranteed savings + VPSA pooled bond</v>
      </c>
      <c r="N63" s="35">
        <f>IF(OR($L63="Retrofit / ESPC",$L63="Retrofit + state stack"),$B$142,IF($L63="New build / PPEA",$B$144,$B$143))</f>
        <v>1</v>
      </c>
      <c r="O63" s="35">
        <f>IF($D63="On Nov 2026 ballot",$B$145,IF($D63="Levying since 2020-23",$B$147,IF($D63="Deferred, eyeing 2027",$B$148,$B$146)))</f>
        <v>0.8</v>
      </c>
      <c r="P63" s="34">
        <f>IF($E63=0,"",($F63/MAX($F$6:$F$138))^0.38*100*$N63*$O63)</f>
        <v>25.407739264109004</v>
      </c>
      <c r="Q63" s="48" t="str">
        <f>IF($E63=0,"","P"&amp;MIN(4,ROUNDUP(RANK($P63,$P$6:$P$138)/COUNT($P$6:$P$138)*4,0)))</f>
        <v>P1</v>
      </c>
      <c r="R63" s="3" t="str">
        <f>IF($D63="On Nov 2026 ballot","Wave 1 - position before the vote",IF($D63="Deferred, eyeing 2027","Wave 3 - 2027 referendum cycle",IF($D63="Levying since 2020-23","Wave 2 - next phase / displace incumbent","Wave 1 - VERIFY referendum status first")))</f>
        <v>Wave 1 - VERIFY referendum status first</v>
      </c>
      <c r="S63" s="3" t="str">
        <f>IF($L63="Retrofit + state stack","SCAP application support + no-cost condition assessment",IF($L63="Retrofit / ESPC","No-cost facility condition assessment",IF($L63="New build / PPEA","PPEA concept + capital sequencing review",IF($L63="Blended programme","Capital programme structuring review","Targeted HVAC and roof scope review"))))</f>
        <v>No-cost facility condition assessment</v>
      </c>
      <c r="T63" s="49"/>
      <c r="U63" s="49"/>
    </row>
    <row r="64" spans="1:21">
      <c r="A64" s="22" t="str">
        <f>'Opportunity Model'!A64</f>
        <v>Middlesex County</v>
      </c>
      <c r="B64" s="22" t="str">
        <f>'Opportunity Model'!B64</f>
        <v>County</v>
      </c>
      <c r="C64" s="3" t="s">
        <v>346</v>
      </c>
      <c r="D64" s="22" t="str">
        <f>'Opportunity Model'!D64</f>
        <v>On Nov 2026 ballot</v>
      </c>
      <c r="E64" s="22">
        <f>'Opportunity Model'!E64</f>
        <v>1</v>
      </c>
      <c r="F64" s="23">
        <f>'Opportunity Model'!G64</f>
        <v>55563081.727326989</v>
      </c>
      <c r="G64" s="23">
        <f>'Opportunity Model'!F64</f>
        <v>1911899.7352138229</v>
      </c>
      <c r="H64" s="45">
        <f>'Region Needs Profile'!B8</f>
        <v>0.1108</v>
      </c>
      <c r="I64" s="46">
        <f>'Region Needs Profile'!C8</f>
        <v>32</v>
      </c>
      <c r="J64" s="47">
        <f>'Region Needs Profile'!P8</f>
        <v>86.269915651358943</v>
      </c>
      <c r="K64" s="3" t="str">
        <f>IF($F64&gt;=PERCENTILE($F$6:$F$138,0.75),"High",IF($F64&gt;=PERCENTILE($F$6:$F$138,0.4),"Moderate","Low"))</f>
        <v>Low</v>
      </c>
      <c r="L64" s="3" t="str">
        <f>IF($J64&gt;=40,"New build / PPEA",IF($J64&lt;=-40,IF($K64="Low","Retrofit + state stack","Retrofit / ESPC"),IF($K64="High","Blended programme","Selective retrofit")))</f>
        <v>New build / PPEA</v>
      </c>
      <c r="M64" s="3" t="str">
        <f>IF($L64="New build / PPEA","Levy-backed debt + PPEA availability payment + SCAP 10%",IF($L64="Retrofit + state stack","SCAP 20-30% + Literary Fund + levy + guaranteed savings",IF($L64="Retrofit / ESPC","Levy + guaranteed savings + VPSA pooled bond",IF($L64="Blended programme","Levy-backed debt + ESPC on the retained estate","SCAP + Literary Fund + guaranteed savings"))))</f>
        <v>Levy-backed debt + PPEA availability payment + SCAP 10%</v>
      </c>
      <c r="N64" s="35">
        <f>IF(OR($L64="Retrofit / ESPC",$L64="Retrofit + state stack"),$B$142,IF($L64="New build / PPEA",$B$144,$B$143))</f>
        <v>0.45</v>
      </c>
      <c r="O64" s="35">
        <f>IF($D64="On Nov 2026 ballot",$B$145,IF($D64="Levying since 2020-23",$B$147,IF($D64="Deferred, eyeing 2027",$B$148,$B$146)))</f>
        <v>1</v>
      </c>
      <c r="P64" s="34">
        <f>IF($E64=0,"",($F64/MAX($F$6:$F$138))^0.38*100*$N64*$O64)</f>
        <v>6.8553630162493038</v>
      </c>
      <c r="Q64" s="48" t="str">
        <f>IF($E64=0,"","P"&amp;MIN(4,ROUNDUP(RANK($P64,$P$6:$P$138)/COUNT($P$6:$P$138)*4,0)))</f>
        <v>P4</v>
      </c>
      <c r="R64" s="3" t="str">
        <f>IF($D64="On Nov 2026 ballot","Wave 1 - position before the vote",IF($D64="Deferred, eyeing 2027","Wave 3 - 2027 referendum cycle",IF($D64="Levying since 2020-23","Wave 2 - next phase / displace incumbent","Wave 1 - VERIFY referendum status first")))</f>
        <v>Wave 1 - position before the vote</v>
      </c>
      <c r="S64" s="3" t="str">
        <f>IF($L64="Retrofit + state stack","SCAP application support + no-cost condition assessment",IF($L64="Retrofit / ESPC","No-cost facility condition assessment",IF($L64="New build / PPEA","PPEA concept + capital sequencing review",IF($L64="Blended programme","Capital programme structuring review","Targeted HVAC and roof scope review"))))</f>
        <v>PPEA concept + capital sequencing review</v>
      </c>
      <c r="T64" s="49"/>
      <c r="U64" s="49"/>
    </row>
    <row r="65" spans="1:21">
      <c r="A65" s="50" t="str">
        <f>'Opportunity Model'!A65</f>
        <v>Montgomery County</v>
      </c>
      <c r="B65" s="50" t="str">
        <f>'Opportunity Model'!B65</f>
        <v>County</v>
      </c>
      <c r="C65" s="51" t="s">
        <v>350</v>
      </c>
      <c r="D65" s="50" t="str">
        <f>'Opportunity Model'!D65</f>
        <v>No public action found</v>
      </c>
      <c r="E65" s="50">
        <f>'Opportunity Model'!E65</f>
        <v>1</v>
      </c>
      <c r="F65" s="52">
        <f>'Opportunity Model'!G65</f>
        <v>600580294.63157701</v>
      </c>
      <c r="G65" s="52">
        <f>'Opportunity Model'!F65</f>
        <v>20259695.393171661</v>
      </c>
      <c r="H65" s="53">
        <f>'Region Needs Profile'!B12</f>
        <v>-0.10009999999999999</v>
      </c>
      <c r="I65" s="54">
        <f>'Region Needs Profile'!C12</f>
        <v>58</v>
      </c>
      <c r="J65" s="55">
        <f>'Region Needs Profile'!P12</f>
        <v>-93.064667291471423</v>
      </c>
      <c r="K65" s="51" t="str">
        <f>IF($F65&gt;=PERCENTILE($F$6:$F$138,0.75),"High",IF($F65&gt;=PERCENTILE($F$6:$F$138,0.4),"Moderate","Low"))</f>
        <v>High</v>
      </c>
      <c r="L65" s="51" t="str">
        <f>IF($J65&gt;=40,"New build / PPEA",IF($J65&lt;=-40,IF($K65="Low","Retrofit + state stack","Retrofit / ESPC"),IF($K65="High","Blended programme","Selective retrofit")))</f>
        <v>Retrofit / ESPC</v>
      </c>
      <c r="M65" s="51" t="str">
        <f>IF($L65="New build / PPEA","Levy-backed debt + PPEA availability payment + SCAP 10%",IF($L65="Retrofit + state stack","SCAP 20-30% + Literary Fund + levy + guaranteed savings",IF($L65="Retrofit / ESPC","Levy + guaranteed savings + VPSA pooled bond",IF($L65="Blended programme","Levy-backed debt + ESPC on the retained estate","SCAP + Literary Fund + guaranteed savings"))))</f>
        <v>Levy + guaranteed savings + VPSA pooled bond</v>
      </c>
      <c r="N65" s="35">
        <f>IF(OR($L65="Retrofit / ESPC",$L65="Retrofit + state stack"),$B$142,IF($L65="New build / PPEA",$B$144,$B$143))</f>
        <v>1</v>
      </c>
      <c r="O65" s="35">
        <f>IF($D65="On Nov 2026 ballot",$B$145,IF($D65="Levying since 2020-23",$B$147,IF($D65="Deferred, eyeing 2027",$B$148,$B$146)))</f>
        <v>0.8</v>
      </c>
      <c r="P65" s="34">
        <f>IF($E65=0,"",($F65/MAX($F$6:$F$138))^0.38*100*$N65*$O65)</f>
        <v>30.112453107570037</v>
      </c>
      <c r="Q65" s="48" t="str">
        <f>IF($E65=0,"","P"&amp;MIN(4,ROUNDUP(RANK($P65,$P$6:$P$138)/COUNT($P$6:$P$138)*4,0)))</f>
        <v>P1</v>
      </c>
      <c r="R65" s="3" t="str">
        <f>IF($D65="On Nov 2026 ballot","Wave 1 - position before the vote",IF($D65="Deferred, eyeing 2027","Wave 3 - 2027 referendum cycle",IF($D65="Levying since 2020-23","Wave 2 - next phase / displace incumbent","Wave 1 - VERIFY referendum status first")))</f>
        <v>Wave 1 - VERIFY referendum status first</v>
      </c>
      <c r="S65" s="3" t="str">
        <f>IF($L65="Retrofit + state stack","SCAP application support + no-cost condition assessment",IF($L65="Retrofit / ESPC","No-cost facility condition assessment",IF($L65="New build / PPEA","PPEA concept + capital sequencing review",IF($L65="Blended programme","Capital programme structuring review","Targeted HVAC and roof scope review"))))</f>
        <v>No-cost facility condition assessment</v>
      </c>
      <c r="T65" s="49"/>
      <c r="U65" s="49"/>
    </row>
    <row r="66" spans="1:21">
      <c r="A66" s="22" t="str">
        <f>'Opportunity Model'!A66</f>
        <v>Nelson County</v>
      </c>
      <c r="B66" s="22" t="str">
        <f>'Opportunity Model'!B66</f>
        <v>County</v>
      </c>
      <c r="C66" s="3" t="s">
        <v>348</v>
      </c>
      <c r="D66" s="22" t="str">
        <f>'Opportunity Model'!D66</f>
        <v>On Nov 2026 ballot</v>
      </c>
      <c r="E66" s="22">
        <f>'Opportunity Model'!E66</f>
        <v>1</v>
      </c>
      <c r="F66" s="23">
        <f>'Opportunity Model'!G66</f>
        <v>72428756.613723189</v>
      </c>
      <c r="G66" s="23">
        <f>'Opportunity Model'!F66</f>
        <v>2459303.2319108467</v>
      </c>
      <c r="H66" s="45">
        <f>'Region Needs Profile'!B10</f>
        <v>3.0099999999999998E-2</v>
      </c>
      <c r="I66" s="46">
        <f>'Region Needs Profile'!C10</f>
        <v>55</v>
      </c>
      <c r="J66" s="47">
        <f>'Region Needs Profile'!P10</f>
        <v>10.405306444373188</v>
      </c>
      <c r="K66" s="3" t="str">
        <f>IF($F66&gt;=PERCENTILE($F$6:$F$138,0.75),"High",IF($F66&gt;=PERCENTILE($F$6:$F$138,0.4),"Moderate","Low"))</f>
        <v>Low</v>
      </c>
      <c r="L66" s="3" t="str">
        <f>IF($J66&gt;=40,"New build / PPEA",IF($J66&lt;=-40,IF($K66="Low","Retrofit + state stack","Retrofit / ESPC"),IF($K66="High","Blended programme","Selective retrofit")))</f>
        <v>Selective retrofit</v>
      </c>
      <c r="M66" s="3" t="str">
        <f>IF($L66="New build / PPEA","Levy-backed debt + PPEA availability payment + SCAP 10%",IF($L66="Retrofit + state stack","SCAP 20-30% + Literary Fund + levy + guaranteed savings",IF($L66="Retrofit / ESPC","Levy + guaranteed savings + VPSA pooled bond",IF($L66="Blended programme","Levy-backed debt + ESPC on the retained estate","SCAP + Literary Fund + guaranteed savings"))))</f>
        <v>SCAP + Literary Fund + guaranteed savings</v>
      </c>
      <c r="N66" s="35">
        <f>IF(OR($L66="Retrofit / ESPC",$L66="Retrofit + state stack"),$B$142,IF($L66="New build / PPEA",$B$144,$B$143))</f>
        <v>0.7</v>
      </c>
      <c r="O66" s="35">
        <f>IF($D66="On Nov 2026 ballot",$B$145,IF($D66="Levying since 2020-23",$B$147,IF($D66="Deferred, eyeing 2027",$B$148,$B$146)))</f>
        <v>1</v>
      </c>
      <c r="P66" s="34">
        <f>IF($E66=0,"",($F66/MAX($F$6:$F$138))^0.38*100*$N66*$O66)</f>
        <v>11.794061039954574</v>
      </c>
      <c r="Q66" s="48" t="str">
        <f>IF($E66=0,"","P"&amp;MIN(4,ROUNDUP(RANK($P66,$P$6:$P$138)/COUNT($P$6:$P$138)*4,0)))</f>
        <v>P3</v>
      </c>
      <c r="R66" s="3" t="str">
        <f>IF($D66="On Nov 2026 ballot","Wave 1 - position before the vote",IF($D66="Deferred, eyeing 2027","Wave 3 - 2027 referendum cycle",IF($D66="Levying since 2020-23","Wave 2 - next phase / displace incumbent","Wave 1 - VERIFY referendum status first")))</f>
        <v>Wave 1 - position before the vote</v>
      </c>
      <c r="S66" s="3" t="str">
        <f>IF($L66="Retrofit + state stack","SCAP application support + no-cost condition assessment",IF($L66="Retrofit / ESPC","No-cost facility condition assessment",IF($L66="New build / PPEA","PPEA concept + capital sequencing review",IF($L66="Blended programme","Capital programme structuring review","Targeted HVAC and roof scope review"))))</f>
        <v>Targeted HVAC and roof scope review</v>
      </c>
      <c r="T66" s="49"/>
      <c r="U66" s="49"/>
    </row>
    <row r="67" spans="1:21">
      <c r="A67" s="50" t="str">
        <f>'Opportunity Model'!A67</f>
        <v>New Kent County</v>
      </c>
      <c r="B67" s="50" t="str">
        <f>'Opportunity Model'!B67</f>
        <v>County</v>
      </c>
      <c r="C67" s="51" t="s">
        <v>344</v>
      </c>
      <c r="D67" s="50" t="str">
        <f>'Opportunity Model'!D67</f>
        <v>On Nov 2026 ballot</v>
      </c>
      <c r="E67" s="50">
        <f>'Opportunity Model'!E67</f>
        <v>1</v>
      </c>
      <c r="F67" s="52">
        <f>'Opportunity Model'!G67</f>
        <v>148553550.06975144</v>
      </c>
      <c r="G67" s="52">
        <f>'Opportunity Model'!F67</f>
        <v>4312230.8574940609</v>
      </c>
      <c r="H67" s="53">
        <f>'Region Needs Profile'!B6</f>
        <v>5.8400000000000001E-2</v>
      </c>
      <c r="I67" s="54">
        <f>'Region Needs Profile'!C6</f>
        <v>50</v>
      </c>
      <c r="J67" s="55">
        <f>'Region Needs Profile'!P6</f>
        <v>20.904227632388256</v>
      </c>
      <c r="K67" s="51" t="str">
        <f>IF($F67&gt;=PERCENTILE($F$6:$F$138,0.75),"High",IF($F67&gt;=PERCENTILE($F$6:$F$138,0.4),"Moderate","Low"))</f>
        <v>Moderate</v>
      </c>
      <c r="L67" s="51" t="str">
        <f>IF($J67&gt;=40,"New build / PPEA",IF($J67&lt;=-40,IF($K67="Low","Retrofit + state stack","Retrofit / ESPC"),IF($K67="High","Blended programme","Selective retrofit")))</f>
        <v>Selective retrofit</v>
      </c>
      <c r="M67" s="51" t="str">
        <f>IF($L67="New build / PPEA","Levy-backed debt + PPEA availability payment + SCAP 10%",IF($L67="Retrofit + state stack","SCAP 20-30% + Literary Fund + levy + guaranteed savings",IF($L67="Retrofit / ESPC","Levy + guaranteed savings + VPSA pooled bond",IF($L67="Blended programme","Levy-backed debt + ESPC on the retained estate","SCAP + Literary Fund + guaranteed savings"))))</f>
        <v>SCAP + Literary Fund + guaranteed savings</v>
      </c>
      <c r="N67" s="35">
        <f>IF(OR($L67="Retrofit / ESPC",$L67="Retrofit + state stack"),$B$142,IF($L67="New build / PPEA",$B$144,$B$143))</f>
        <v>0.7</v>
      </c>
      <c r="O67" s="35">
        <f>IF($D67="On Nov 2026 ballot",$B$145,IF($D67="Levying since 2020-23",$B$147,IF($D67="Deferred, eyeing 2027",$B$148,$B$146)))</f>
        <v>1</v>
      </c>
      <c r="P67" s="34">
        <f>IF($E67=0,"",($F67/MAX($F$6:$F$138))^0.38*100*$N67*$O67)</f>
        <v>15.495754709199039</v>
      </c>
      <c r="Q67" s="48" t="str">
        <f>IF($E67=0,"","P"&amp;MIN(4,ROUNDUP(RANK($P67,$P$6:$P$138)/COUNT($P$6:$P$138)*4,0)))</f>
        <v>P2</v>
      </c>
      <c r="R67" s="3" t="str">
        <f>IF($D67="On Nov 2026 ballot","Wave 1 - position before the vote",IF($D67="Deferred, eyeing 2027","Wave 3 - 2027 referendum cycle",IF($D67="Levying since 2020-23","Wave 2 - next phase / displace incumbent","Wave 1 - VERIFY referendum status first")))</f>
        <v>Wave 1 - position before the vote</v>
      </c>
      <c r="S67" s="3" t="str">
        <f>IF($L67="Retrofit + state stack","SCAP application support + no-cost condition assessment",IF($L67="Retrofit / ESPC","No-cost facility condition assessment",IF($L67="New build / PPEA","PPEA concept + capital sequencing review",IF($L67="Blended programme","Capital programme structuring review","Targeted HVAC and roof scope review"))))</f>
        <v>Targeted HVAC and roof scope review</v>
      </c>
      <c r="T67" s="49"/>
      <c r="U67" s="49"/>
    </row>
    <row r="68" spans="1:21">
      <c r="A68" s="22" t="str">
        <f>'Opportunity Model'!A68</f>
        <v>Northampton County</v>
      </c>
      <c r="B68" s="22" t="str">
        <f>'Opportunity Model'!B68</f>
        <v>County</v>
      </c>
      <c r="C68" s="3" t="s">
        <v>345</v>
      </c>
      <c r="D68" s="22" t="str">
        <f>'Opportunity Model'!D68</f>
        <v>Levying since 2020-23</v>
      </c>
      <c r="E68" s="22">
        <f>'Opportunity Model'!E68</f>
        <v>1</v>
      </c>
      <c r="F68" s="23">
        <f>'Opportunity Model'!G68</f>
        <v>80936831.585766286</v>
      </c>
      <c r="G68" s="23">
        <f>'Opportunity Model'!F68</f>
        <v>2683223.3237683363</v>
      </c>
      <c r="H68" s="45">
        <f>'Region Needs Profile'!B7</f>
        <v>1.43E-2</v>
      </c>
      <c r="I68" s="46">
        <f>'Region Needs Profile'!C7</f>
        <v>50</v>
      </c>
      <c r="J68" s="47">
        <f>'Region Needs Profile'!P7</f>
        <v>-8.3941601847190412</v>
      </c>
      <c r="K68" s="3" t="str">
        <f>IF($F68&gt;=PERCENTILE($F$6:$F$138,0.75),"High",IF($F68&gt;=PERCENTILE($F$6:$F$138,0.4),"Moderate","Low"))</f>
        <v>Low</v>
      </c>
      <c r="L68" s="3" t="str">
        <f>IF($J68&gt;=40,"New build / PPEA",IF($J68&lt;=-40,IF($K68="Low","Retrofit + state stack","Retrofit / ESPC"),IF($K68="High","Blended programme","Selective retrofit")))</f>
        <v>Selective retrofit</v>
      </c>
      <c r="M68" s="3" t="str">
        <f>IF($L68="New build / PPEA","Levy-backed debt + PPEA availability payment + SCAP 10%",IF($L68="Retrofit + state stack","SCAP 20-30% + Literary Fund + levy + guaranteed savings",IF($L68="Retrofit / ESPC","Levy + guaranteed savings + VPSA pooled bond",IF($L68="Blended programme","Levy-backed debt + ESPC on the retained estate","SCAP + Literary Fund + guaranteed savings"))))</f>
        <v>SCAP + Literary Fund + guaranteed savings</v>
      </c>
      <c r="N68" s="35">
        <f>IF(OR($L68="Retrofit / ESPC",$L68="Retrofit + state stack"),$B$142,IF($L68="New build / PPEA",$B$144,$B$143))</f>
        <v>0.7</v>
      </c>
      <c r="O68" s="35">
        <f>IF($D68="On Nov 2026 ballot",$B$145,IF($D68="Levying since 2020-23",$B$147,IF($D68="Deferred, eyeing 2027",$B$148,$B$146)))</f>
        <v>0.65</v>
      </c>
      <c r="P68" s="34">
        <f>IF($E68=0,"",($F68/MAX($F$6:$F$138))^0.38*100*$N68*$O68)</f>
        <v>7.9966132491728485</v>
      </c>
      <c r="Q68" s="48" t="str">
        <f>IF($E68=0,"","P"&amp;MIN(4,ROUNDUP(RANK($P68,$P$6:$P$138)/COUNT($P$6:$P$138)*4,0)))</f>
        <v>P4</v>
      </c>
      <c r="R68" s="3" t="str">
        <f>IF($D68="On Nov 2026 ballot","Wave 1 - position before the vote",IF($D68="Deferred, eyeing 2027","Wave 3 - 2027 referendum cycle",IF($D68="Levying since 2020-23","Wave 2 - next phase / displace incumbent","Wave 1 - VERIFY referendum status first")))</f>
        <v>Wave 2 - next phase / displace incumbent</v>
      </c>
      <c r="S68" s="3" t="str">
        <f>IF($L68="Retrofit + state stack","SCAP application support + no-cost condition assessment",IF($L68="Retrofit / ESPC","No-cost facility condition assessment",IF($L68="New build / PPEA","PPEA concept + capital sequencing review",IF($L68="Blended programme","Capital programme structuring review","Targeted HVAC and roof scope review"))))</f>
        <v>Targeted HVAC and roof scope review</v>
      </c>
      <c r="T68" s="49"/>
      <c r="U68" s="49"/>
    </row>
    <row r="69" spans="1:21">
      <c r="A69" s="50" t="str">
        <f>'Opportunity Model'!A69</f>
        <v>Northumberland County</v>
      </c>
      <c r="B69" s="50" t="str">
        <f>'Opportunity Model'!B69</f>
        <v>County</v>
      </c>
      <c r="C69" s="51" t="s">
        <v>346</v>
      </c>
      <c r="D69" s="50" t="str">
        <f>'Opportunity Model'!D69</f>
        <v>No public action found</v>
      </c>
      <c r="E69" s="50">
        <f>'Opportunity Model'!E69</f>
        <v>1</v>
      </c>
      <c r="F69" s="52">
        <f>'Opportunity Model'!G69</f>
        <v>47303530.593835741</v>
      </c>
      <c r="G69" s="52">
        <f>'Opportunity Model'!F69</f>
        <v>1547452.1435669179</v>
      </c>
      <c r="H69" s="53">
        <f>'Region Needs Profile'!B8</f>
        <v>0.1108</v>
      </c>
      <c r="I69" s="54">
        <f>'Region Needs Profile'!C8</f>
        <v>32</v>
      </c>
      <c r="J69" s="55">
        <f>'Region Needs Profile'!P8</f>
        <v>86.269915651358943</v>
      </c>
      <c r="K69" s="51" t="str">
        <f>IF($F69&gt;=PERCENTILE($F$6:$F$138,0.75),"High",IF($F69&gt;=PERCENTILE($F$6:$F$138,0.4),"Moderate","Low"))</f>
        <v>Low</v>
      </c>
      <c r="L69" s="51" t="str">
        <f>IF($J69&gt;=40,"New build / PPEA",IF($J69&lt;=-40,IF($K69="Low","Retrofit + state stack","Retrofit / ESPC"),IF($K69="High","Blended programme","Selective retrofit")))</f>
        <v>New build / PPEA</v>
      </c>
      <c r="M69" s="51" t="str">
        <f>IF($L69="New build / PPEA","Levy-backed debt + PPEA availability payment + SCAP 10%",IF($L69="Retrofit + state stack","SCAP 20-30% + Literary Fund + levy + guaranteed savings",IF($L69="Retrofit / ESPC","Levy + guaranteed savings + VPSA pooled bond",IF($L69="Blended programme","Levy-backed debt + ESPC on the retained estate","SCAP + Literary Fund + guaranteed savings"))))</f>
        <v>Levy-backed debt + PPEA availability payment + SCAP 10%</v>
      </c>
      <c r="N69" s="35">
        <f>IF(OR($L69="Retrofit / ESPC",$L69="Retrofit + state stack"),$B$142,IF($L69="New build / PPEA",$B$144,$B$143))</f>
        <v>0.45</v>
      </c>
      <c r="O69" s="35">
        <f>IF($D69="On Nov 2026 ballot",$B$145,IF($D69="Levying since 2020-23",$B$147,IF($D69="Deferred, eyeing 2027",$B$148,$B$146)))</f>
        <v>0.8</v>
      </c>
      <c r="P69" s="34">
        <f>IF($E69=0,"",($F69/MAX($F$6:$F$138))^0.38*100*$N69*$O69)</f>
        <v>5.1589484944649477</v>
      </c>
      <c r="Q69" s="48" t="str">
        <f>IF($E69=0,"","P"&amp;MIN(4,ROUNDUP(RANK($P69,$P$6:$P$138)/COUNT($P$6:$P$138)*4,0)))</f>
        <v>P4</v>
      </c>
      <c r="R69" s="3" t="str">
        <f>IF($D69="On Nov 2026 ballot","Wave 1 - position before the vote",IF($D69="Deferred, eyeing 2027","Wave 3 - 2027 referendum cycle",IF($D69="Levying since 2020-23","Wave 2 - next phase / displace incumbent","Wave 1 - VERIFY referendum status first")))</f>
        <v>Wave 1 - VERIFY referendum status first</v>
      </c>
      <c r="S69" s="3" t="str">
        <f>IF($L69="Retrofit + state stack","SCAP application support + no-cost condition assessment",IF($L69="Retrofit / ESPC","No-cost facility condition assessment",IF($L69="New build / PPEA","PPEA concept + capital sequencing review",IF($L69="Blended programme","Capital programme structuring review","Targeted HVAC and roof scope review"))))</f>
        <v>PPEA concept + capital sequencing review</v>
      </c>
      <c r="T69" s="49"/>
      <c r="U69" s="49"/>
    </row>
    <row r="70" spans="1:21">
      <c r="A70" s="22" t="str">
        <f>'Opportunity Model'!A70</f>
        <v>Nottoway County</v>
      </c>
      <c r="B70" s="22" t="str">
        <f>'Opportunity Model'!B70</f>
        <v>County</v>
      </c>
      <c r="C70" s="3" t="s">
        <v>351</v>
      </c>
      <c r="D70" s="22" t="str">
        <f>'Opportunity Model'!D70</f>
        <v>No public action found</v>
      </c>
      <c r="E70" s="22">
        <f>'Opportunity Model'!E70</f>
        <v>1</v>
      </c>
      <c r="F70" s="23">
        <f>'Opportunity Model'!G70</f>
        <v>69500795.90079692</v>
      </c>
      <c r="G70" s="23">
        <f>'Opportunity Model'!F70</f>
        <v>2503534.2433187058</v>
      </c>
      <c r="H70" s="45">
        <f>'Region Needs Profile'!B13</f>
        <v>-7.3999999999999996E-2</v>
      </c>
      <c r="I70" s="46">
        <f>'Region Needs Profile'!C13</f>
        <v>58</v>
      </c>
      <c r="J70" s="47">
        <f>'Region Needs Profile'!P13</f>
        <v>-87.624466571835001</v>
      </c>
      <c r="K70" s="3" t="str">
        <f>IF($F70&gt;=PERCENTILE($F$6:$F$138,0.75),"High",IF($F70&gt;=PERCENTILE($F$6:$F$138,0.4),"Moderate","Low"))</f>
        <v>Low</v>
      </c>
      <c r="L70" s="3" t="str">
        <f>IF($J70&gt;=40,"New build / PPEA",IF($J70&lt;=-40,IF($K70="Low","Retrofit + state stack","Retrofit / ESPC"),IF($K70="High","Blended programme","Selective retrofit")))</f>
        <v>Retrofit + state stack</v>
      </c>
      <c r="M70" s="3" t="str">
        <f>IF($L70="New build / PPEA","Levy-backed debt + PPEA availability payment + SCAP 10%",IF($L70="Retrofit + state stack","SCAP 20-30% + Literary Fund + levy + guaranteed savings",IF($L70="Retrofit / ESPC","Levy + guaranteed savings + VPSA pooled bond",IF($L70="Blended programme","Levy-backed debt + ESPC on the retained estate","SCAP + Literary Fund + guaranteed savings"))))</f>
        <v>SCAP 20-30% + Literary Fund + levy + guaranteed savings</v>
      </c>
      <c r="N70" s="35">
        <f>IF(OR($L70="Retrofit / ESPC",$L70="Retrofit + state stack"),$B$142,IF($L70="New build / PPEA",$B$144,$B$143))</f>
        <v>1</v>
      </c>
      <c r="O70" s="35">
        <f>IF($D70="On Nov 2026 ballot",$B$145,IF($D70="Levying since 2020-23",$B$147,IF($D70="Deferred, eyeing 2027",$B$148,$B$146)))</f>
        <v>0.8</v>
      </c>
      <c r="P70" s="34">
        <f>IF($E70=0,"",($F70/MAX($F$6:$F$138))^0.38*100*$N70*$O70)</f>
        <v>13.269215350701771</v>
      </c>
      <c r="Q70" s="48" t="str">
        <f>IF($E70=0,"","P"&amp;MIN(4,ROUNDUP(RANK($P70,$P$6:$P$138)/COUNT($P$6:$P$138)*4,0)))</f>
        <v>P2</v>
      </c>
      <c r="R70" s="3" t="str">
        <f>IF($D70="On Nov 2026 ballot","Wave 1 - position before the vote",IF($D70="Deferred, eyeing 2027","Wave 3 - 2027 referendum cycle",IF($D70="Levying since 2020-23","Wave 2 - next phase / displace incumbent","Wave 1 - VERIFY referendum status first")))</f>
        <v>Wave 1 - VERIFY referendum status first</v>
      </c>
      <c r="S70" s="3" t="str">
        <f>IF($L70="Retrofit + state stack","SCAP application support + no-cost condition assessment",IF($L70="Retrofit / ESPC","No-cost facility condition assessment",IF($L70="New build / PPEA","PPEA concept + capital sequencing review",IF($L70="Blended programme","Capital programme structuring review","Targeted HVAC and roof scope review"))))</f>
        <v>SCAP application support + no-cost condition assessment</v>
      </c>
      <c r="T70" s="49"/>
      <c r="U70" s="49"/>
    </row>
    <row r="71" spans="1:21">
      <c r="A71" s="50" t="str">
        <f>'Opportunity Model'!A71</f>
        <v>Orange County</v>
      </c>
      <c r="B71" s="50" t="str">
        <f>'Opportunity Model'!B71</f>
        <v>County</v>
      </c>
      <c r="C71" s="51" t="s">
        <v>347</v>
      </c>
      <c r="D71" s="50" t="str">
        <f>'Opportunity Model'!D71</f>
        <v>On Nov 2026 ballot</v>
      </c>
      <c r="E71" s="50">
        <f>'Opportunity Model'!E71</f>
        <v>1</v>
      </c>
      <c r="F71" s="52">
        <f>'Opportunity Model'!G71</f>
        <v>207360703.44934464</v>
      </c>
      <c r="G71" s="52">
        <f>'Opportunity Model'!F71</f>
        <v>6551753.3436923083</v>
      </c>
      <c r="H71" s="53">
        <f>'Region Needs Profile'!B9</f>
        <v>7.9399999999999998E-2</v>
      </c>
      <c r="I71" s="54">
        <f>'Region Needs Profile'!C9</f>
        <v>48</v>
      </c>
      <c r="J71" s="55">
        <f>'Region Needs Profile'!P9</f>
        <v>54.342196447459614</v>
      </c>
      <c r="K71" s="51" t="str">
        <f>IF($F71&gt;=PERCENTILE($F$6:$F$138,0.75),"High",IF($F71&gt;=PERCENTILE($F$6:$F$138,0.4),"Moderate","Low"))</f>
        <v>Moderate</v>
      </c>
      <c r="L71" s="51" t="str">
        <f>IF($J71&gt;=40,"New build / PPEA",IF($J71&lt;=-40,IF($K71="Low","Retrofit + state stack","Retrofit / ESPC"),IF($K71="High","Blended programme","Selective retrofit")))</f>
        <v>New build / PPEA</v>
      </c>
      <c r="M71" s="51" t="str">
        <f>IF($L71="New build / PPEA","Levy-backed debt + PPEA availability payment + SCAP 10%",IF($L71="Retrofit + state stack","SCAP 20-30% + Literary Fund + levy + guaranteed savings",IF($L71="Retrofit / ESPC","Levy + guaranteed savings + VPSA pooled bond",IF($L71="Blended programme","Levy-backed debt + ESPC on the retained estate","SCAP + Literary Fund + guaranteed savings"))))</f>
        <v>Levy-backed debt + PPEA availability payment + SCAP 10%</v>
      </c>
      <c r="N71" s="35">
        <f>IF(OR($L71="Retrofit / ESPC",$L71="Retrofit + state stack"),$B$142,IF($L71="New build / PPEA",$B$144,$B$143))</f>
        <v>0.45</v>
      </c>
      <c r="O71" s="35">
        <f>IF($D71="On Nov 2026 ballot",$B$145,IF($D71="Levying since 2020-23",$B$147,IF($D71="Deferred, eyeing 2027",$B$148,$B$146)))</f>
        <v>1</v>
      </c>
      <c r="P71" s="34">
        <f>IF($E71=0,"",($F71/MAX($F$6:$F$138))^0.38*100*$N71*$O71)</f>
        <v>11.307528927271916</v>
      </c>
      <c r="Q71" s="48" t="str">
        <f>IF($E71=0,"","P"&amp;MIN(4,ROUNDUP(RANK($P71,$P$6:$P$138)/COUNT($P$6:$P$138)*4,0)))</f>
        <v>P3</v>
      </c>
      <c r="R71" s="3" t="str">
        <f>IF($D71="On Nov 2026 ballot","Wave 1 - position before the vote",IF($D71="Deferred, eyeing 2027","Wave 3 - 2027 referendum cycle",IF($D71="Levying since 2020-23","Wave 2 - next phase / displace incumbent","Wave 1 - VERIFY referendum status first")))</f>
        <v>Wave 1 - position before the vote</v>
      </c>
      <c r="S71" s="3" t="str">
        <f>IF($L71="Retrofit + state stack","SCAP application support + no-cost condition assessment",IF($L71="Retrofit / ESPC","No-cost facility condition assessment",IF($L71="New build / PPEA","PPEA concept + capital sequencing review",IF($L71="Blended programme","Capital programme structuring review","Targeted HVAC and roof scope review"))))</f>
        <v>PPEA concept + capital sequencing review</v>
      </c>
      <c r="T71" s="49"/>
      <c r="U71" s="49"/>
    </row>
    <row r="72" spans="1:21">
      <c r="A72" s="22" t="str">
        <f>'Opportunity Model'!A72</f>
        <v>Page County</v>
      </c>
      <c r="B72" s="22" t="str">
        <f>'Opportunity Model'!B72</f>
        <v>County</v>
      </c>
      <c r="C72" s="3" t="s">
        <v>347</v>
      </c>
      <c r="D72" s="22" t="str">
        <f>'Opportunity Model'!D72</f>
        <v>No public action found</v>
      </c>
      <c r="E72" s="22">
        <f>'Opportunity Model'!E72</f>
        <v>1</v>
      </c>
      <c r="F72" s="23">
        <f>'Opportunity Model'!G72</f>
        <v>112592847.50841722</v>
      </c>
      <c r="G72" s="23">
        <f>'Opportunity Model'!F72</f>
        <v>3764653.4674114655</v>
      </c>
      <c r="H72" s="45">
        <f>'Region Needs Profile'!B9</f>
        <v>7.9399999999999998E-2</v>
      </c>
      <c r="I72" s="46">
        <f>'Region Needs Profile'!C9</f>
        <v>48</v>
      </c>
      <c r="J72" s="47">
        <f>'Region Needs Profile'!P9</f>
        <v>54.342196447459614</v>
      </c>
      <c r="K72" s="3" t="str">
        <f>IF($F72&gt;=PERCENTILE($F$6:$F$138,0.75),"High",IF($F72&gt;=PERCENTILE($F$6:$F$138,0.4),"Moderate","Low"))</f>
        <v>Moderate</v>
      </c>
      <c r="L72" s="3" t="str">
        <f>IF($J72&gt;=40,"New build / PPEA",IF($J72&lt;=-40,IF($K72="Low","Retrofit + state stack","Retrofit / ESPC"),IF($K72="High","Blended programme","Selective retrofit")))</f>
        <v>New build / PPEA</v>
      </c>
      <c r="M72" s="3" t="str">
        <f>IF($L72="New build / PPEA","Levy-backed debt + PPEA availability payment + SCAP 10%",IF($L72="Retrofit + state stack","SCAP 20-30% + Literary Fund + levy + guaranteed savings",IF($L72="Retrofit / ESPC","Levy + guaranteed savings + VPSA pooled bond",IF($L72="Blended programme","Levy-backed debt + ESPC on the retained estate","SCAP + Literary Fund + guaranteed savings"))))</f>
        <v>Levy-backed debt + PPEA availability payment + SCAP 10%</v>
      </c>
      <c r="N72" s="35">
        <f>IF(OR($L72="Retrofit / ESPC",$L72="Retrofit + state stack"),$B$142,IF($L72="New build / PPEA",$B$144,$B$143))</f>
        <v>0.45</v>
      </c>
      <c r="O72" s="35">
        <f>IF($D72="On Nov 2026 ballot",$B$145,IF($D72="Levying since 2020-23",$B$147,IF($D72="Deferred, eyeing 2027",$B$148,$B$146)))</f>
        <v>0.8</v>
      </c>
      <c r="P72" s="34">
        <f>IF($E72=0,"",($F72/MAX($F$6:$F$138))^0.38*100*$N72*$O72)</f>
        <v>7.1725856934719703</v>
      </c>
      <c r="Q72" s="48" t="str">
        <f>IF($E72=0,"","P"&amp;MIN(4,ROUNDUP(RANK($P72,$P$6:$P$138)/COUNT($P$6:$P$138)*4,0)))</f>
        <v>P4</v>
      </c>
      <c r="R72" s="3" t="str">
        <f>IF($D72="On Nov 2026 ballot","Wave 1 - position before the vote",IF($D72="Deferred, eyeing 2027","Wave 3 - 2027 referendum cycle",IF($D72="Levying since 2020-23","Wave 2 - next phase / displace incumbent","Wave 1 - VERIFY referendum status first")))</f>
        <v>Wave 1 - VERIFY referendum status first</v>
      </c>
      <c r="S72" s="3" t="str">
        <f>IF($L72="Retrofit + state stack","SCAP application support + no-cost condition assessment",IF($L72="Retrofit / ESPC","No-cost facility condition assessment",IF($L72="New build / PPEA","PPEA concept + capital sequencing review",IF($L72="Blended programme","Capital programme structuring review","Targeted HVAC and roof scope review"))))</f>
        <v>PPEA concept + capital sequencing review</v>
      </c>
      <c r="T72" s="49"/>
      <c r="U72" s="49"/>
    </row>
    <row r="73" spans="1:21">
      <c r="A73" s="50" t="str">
        <f>'Opportunity Model'!A73</f>
        <v>Patrick County</v>
      </c>
      <c r="B73" s="50" t="str">
        <f>'Opportunity Model'!B73</f>
        <v>County</v>
      </c>
      <c r="C73" s="51" t="s">
        <v>349</v>
      </c>
      <c r="D73" s="50" t="str">
        <f>'Opportunity Model'!D73</f>
        <v>Levying since 2020-23</v>
      </c>
      <c r="E73" s="50">
        <f>'Opportunity Model'!E73</f>
        <v>1</v>
      </c>
      <c r="F73" s="52">
        <f>'Opportunity Model'!G73</f>
        <v>64285216.80997058</v>
      </c>
      <c r="G73" s="52">
        <f>'Opportunity Model'!F73</f>
        <v>2205215.6622230858</v>
      </c>
      <c r="H73" s="53">
        <f>'Region Needs Profile'!B11</f>
        <v>-6.7799999999999999E-2</v>
      </c>
      <c r="I73" s="54">
        <f>'Region Needs Profile'!C11</f>
        <v>58</v>
      </c>
      <c r="J73" s="55">
        <f>'Region Needs Profile'!P11</f>
        <v>-65.331357599398828</v>
      </c>
      <c r="K73" s="51" t="str">
        <f>IF($F73&gt;=PERCENTILE($F$6:$F$138,0.75),"High",IF($F73&gt;=PERCENTILE($F$6:$F$138,0.4),"Moderate","Low"))</f>
        <v>Low</v>
      </c>
      <c r="L73" s="51" t="str">
        <f>IF($J73&gt;=40,"New build / PPEA",IF($J73&lt;=-40,IF($K73="Low","Retrofit + state stack","Retrofit / ESPC"),IF($K73="High","Blended programme","Selective retrofit")))</f>
        <v>Retrofit + state stack</v>
      </c>
      <c r="M73" s="51" t="str">
        <f>IF($L73="New build / PPEA","Levy-backed debt + PPEA availability payment + SCAP 10%",IF($L73="Retrofit + state stack","SCAP 20-30% + Literary Fund + levy + guaranteed savings",IF($L73="Retrofit / ESPC","Levy + guaranteed savings + VPSA pooled bond",IF($L73="Blended programme","Levy-backed debt + ESPC on the retained estate","SCAP + Literary Fund + guaranteed savings"))))</f>
        <v>SCAP 20-30% + Literary Fund + levy + guaranteed savings</v>
      </c>
      <c r="N73" s="35">
        <f>IF(OR($L73="Retrofit / ESPC",$L73="Retrofit + state stack"),$B$142,IF($L73="New build / PPEA",$B$144,$B$143))</f>
        <v>1</v>
      </c>
      <c r="O73" s="35">
        <f>IF($D73="On Nov 2026 ballot",$B$145,IF($D73="Levying since 2020-23",$B$147,IF($D73="Deferred, eyeing 2027",$B$148,$B$146)))</f>
        <v>0.65</v>
      </c>
      <c r="P73" s="34">
        <f>IF($E73=0,"",($F73/MAX($F$6:$F$138))^0.38*100*$N73*$O73)</f>
        <v>10.466337123963001</v>
      </c>
      <c r="Q73" s="48" t="str">
        <f>IF($E73=0,"","P"&amp;MIN(4,ROUNDUP(RANK($P73,$P$6:$P$138)/COUNT($P$6:$P$138)*4,0)))</f>
        <v>P3</v>
      </c>
      <c r="R73" s="3" t="str">
        <f>IF($D73="On Nov 2026 ballot","Wave 1 - position before the vote",IF($D73="Deferred, eyeing 2027","Wave 3 - 2027 referendum cycle",IF($D73="Levying since 2020-23","Wave 2 - next phase / displace incumbent","Wave 1 - VERIFY referendum status first")))</f>
        <v>Wave 2 - next phase / displace incumbent</v>
      </c>
      <c r="S73" s="3" t="str">
        <f>IF($L73="Retrofit + state stack","SCAP application support + no-cost condition assessment",IF($L73="Retrofit / ESPC","No-cost facility condition assessment",IF($L73="New build / PPEA","PPEA concept + capital sequencing review",IF($L73="Blended programme","Capital programme structuring review","Targeted HVAC and roof scope review"))))</f>
        <v>SCAP application support + no-cost condition assessment</v>
      </c>
      <c r="T73" s="49"/>
      <c r="U73" s="49"/>
    </row>
    <row r="74" spans="1:21">
      <c r="A74" s="22" t="str">
        <f>'Opportunity Model'!A74</f>
        <v>Pittsylvania County</v>
      </c>
      <c r="B74" s="22" t="str">
        <f>'Opportunity Model'!B74</f>
        <v>County</v>
      </c>
      <c r="C74" s="3" t="s">
        <v>349</v>
      </c>
      <c r="D74" s="22" t="str">
        <f>'Opportunity Model'!D74</f>
        <v>Levying since 2020-23</v>
      </c>
      <c r="E74" s="22">
        <f>'Opportunity Model'!E74</f>
        <v>1</v>
      </c>
      <c r="F74" s="23">
        <f>'Opportunity Model'!G74</f>
        <v>133818635.13644567</v>
      </c>
      <c r="G74" s="23">
        <f>'Opportunity Model'!F74</f>
        <v>4874236.1756744012</v>
      </c>
      <c r="H74" s="45">
        <f>'Region Needs Profile'!B11</f>
        <v>-6.7799999999999999E-2</v>
      </c>
      <c r="I74" s="46">
        <f>'Region Needs Profile'!C11</f>
        <v>58</v>
      </c>
      <c r="J74" s="47">
        <f>'Region Needs Profile'!P11</f>
        <v>-65.331357599398828</v>
      </c>
      <c r="K74" s="3" t="str">
        <f>IF($F74&gt;=PERCENTILE($F$6:$F$138,0.75),"High",IF($F74&gt;=PERCENTILE($F$6:$F$138,0.4),"Moderate","Low"))</f>
        <v>Moderate</v>
      </c>
      <c r="L74" s="3" t="str">
        <f>IF($J74&gt;=40,"New build / PPEA",IF($J74&lt;=-40,IF($K74="Low","Retrofit + state stack","Retrofit / ESPC"),IF($K74="High","Blended programme","Selective retrofit")))</f>
        <v>Retrofit / ESPC</v>
      </c>
      <c r="M74" s="3" t="str">
        <f>IF($L74="New build / PPEA","Levy-backed debt + PPEA availability payment + SCAP 10%",IF($L74="Retrofit + state stack","SCAP 20-30% + Literary Fund + levy + guaranteed savings",IF($L74="Retrofit / ESPC","Levy + guaranteed savings + VPSA pooled bond",IF($L74="Blended programme","Levy-backed debt + ESPC on the retained estate","SCAP + Literary Fund + guaranteed savings"))))</f>
        <v>Levy + guaranteed savings + VPSA pooled bond</v>
      </c>
      <c r="N74" s="35">
        <f>IF(OR($L74="Retrofit / ESPC",$L74="Retrofit + state stack"),$B$142,IF($L74="New build / PPEA",$B$144,$B$143))</f>
        <v>1</v>
      </c>
      <c r="O74" s="35">
        <f>IF($D74="On Nov 2026 ballot",$B$145,IF($D74="Levying since 2020-23",$B$147,IF($D74="Deferred, eyeing 2027",$B$148,$B$146)))</f>
        <v>0.65</v>
      </c>
      <c r="P74" s="34">
        <f>IF($E74=0,"",($F74/MAX($F$6:$F$138))^0.38*100*$N74*$O74)</f>
        <v>13.82893715387616</v>
      </c>
      <c r="Q74" s="48" t="str">
        <f>IF($E74=0,"","P"&amp;MIN(4,ROUNDUP(RANK($P74,$P$6:$P$138)/COUNT($P$6:$P$138)*4,0)))</f>
        <v>P2</v>
      </c>
      <c r="R74" s="3" t="str">
        <f>IF($D74="On Nov 2026 ballot","Wave 1 - position before the vote",IF($D74="Deferred, eyeing 2027","Wave 3 - 2027 referendum cycle",IF($D74="Levying since 2020-23","Wave 2 - next phase / displace incumbent","Wave 1 - VERIFY referendum status first")))</f>
        <v>Wave 2 - next phase / displace incumbent</v>
      </c>
      <c r="S74" s="3" t="str">
        <f>IF($L74="Retrofit + state stack","SCAP application support + no-cost condition assessment",IF($L74="Retrofit / ESPC","No-cost facility condition assessment",IF($L74="New build / PPEA","PPEA concept + capital sequencing review",IF($L74="Blended programme","Capital programme structuring review","Targeted HVAC and roof scope review"))))</f>
        <v>No-cost facility condition assessment</v>
      </c>
      <c r="T74" s="49"/>
      <c r="U74" s="49"/>
    </row>
    <row r="75" spans="1:21">
      <c r="A75" s="50" t="str">
        <f>'Opportunity Model'!A75</f>
        <v>Powhatan County</v>
      </c>
      <c r="B75" s="50" t="str">
        <f>'Opportunity Model'!B75</f>
        <v>County</v>
      </c>
      <c r="C75" s="51" t="s">
        <v>344</v>
      </c>
      <c r="D75" s="50" t="str">
        <f>'Opportunity Model'!D75</f>
        <v>On Nov 2026 ballot</v>
      </c>
      <c r="E75" s="50">
        <f>'Opportunity Model'!E75</f>
        <v>1</v>
      </c>
      <c r="F75" s="52">
        <f>'Opportunity Model'!G75</f>
        <v>217514189.80973604</v>
      </c>
      <c r="G75" s="52">
        <f>'Opportunity Model'!F75</f>
        <v>6422858.0753480215</v>
      </c>
      <c r="H75" s="53">
        <f>'Region Needs Profile'!B6</f>
        <v>5.8400000000000001E-2</v>
      </c>
      <c r="I75" s="54">
        <f>'Region Needs Profile'!C6</f>
        <v>50</v>
      </c>
      <c r="J75" s="55">
        <f>'Region Needs Profile'!P6</f>
        <v>20.904227632388256</v>
      </c>
      <c r="K75" s="51" t="str">
        <f>IF($F75&gt;=PERCENTILE($F$6:$F$138,0.75),"High",IF($F75&gt;=PERCENTILE($F$6:$F$138,0.4),"Moderate","Low"))</f>
        <v>Moderate</v>
      </c>
      <c r="L75" s="51" t="str">
        <f>IF($J75&gt;=40,"New build / PPEA",IF($J75&lt;=-40,IF($K75="Low","Retrofit + state stack","Retrofit / ESPC"),IF($K75="High","Blended programme","Selective retrofit")))</f>
        <v>Selective retrofit</v>
      </c>
      <c r="M75" s="51" t="str">
        <f>IF($L75="New build / PPEA","Levy-backed debt + PPEA availability payment + SCAP 10%",IF($L75="Retrofit + state stack","SCAP 20-30% + Literary Fund + levy + guaranteed savings",IF($L75="Retrofit / ESPC","Levy + guaranteed savings + VPSA pooled bond",IF($L75="Blended programme","Levy-backed debt + ESPC on the retained estate","SCAP + Literary Fund + guaranteed savings"))))</f>
        <v>SCAP + Literary Fund + guaranteed savings</v>
      </c>
      <c r="N75" s="35">
        <f>IF(OR($L75="Retrofit / ESPC",$L75="Retrofit + state stack"),$B$142,IF($L75="New build / PPEA",$B$144,$B$143))</f>
        <v>0.7</v>
      </c>
      <c r="O75" s="35">
        <f>IF($D75="On Nov 2026 ballot",$B$145,IF($D75="Levying since 2020-23",$B$147,IF($D75="Deferred, eyeing 2027",$B$148,$B$146)))</f>
        <v>1</v>
      </c>
      <c r="P75" s="34">
        <f>IF($E75=0,"",($F75/MAX($F$6:$F$138))^0.38*100*$N75*$O75)</f>
        <v>17.911933389987198</v>
      </c>
      <c r="Q75" s="48" t="str">
        <f>IF($E75=0,"","P"&amp;MIN(4,ROUNDUP(RANK($P75,$P$6:$P$138)/COUNT($P$6:$P$138)*4,0)))</f>
        <v>P1</v>
      </c>
      <c r="R75" s="3" t="str">
        <f>IF($D75="On Nov 2026 ballot","Wave 1 - position before the vote",IF($D75="Deferred, eyeing 2027","Wave 3 - 2027 referendum cycle",IF($D75="Levying since 2020-23","Wave 2 - next phase / displace incumbent","Wave 1 - VERIFY referendum status first")))</f>
        <v>Wave 1 - position before the vote</v>
      </c>
      <c r="S75" s="3" t="str">
        <f>IF($L75="Retrofit + state stack","SCAP application support + no-cost condition assessment",IF($L75="Retrofit / ESPC","No-cost facility condition assessment",IF($L75="New build / PPEA","PPEA concept + capital sequencing review",IF($L75="Blended programme","Capital programme structuring review","Targeted HVAC and roof scope review"))))</f>
        <v>Targeted HVAC and roof scope review</v>
      </c>
      <c r="T75" s="49"/>
      <c r="U75" s="49"/>
    </row>
    <row r="76" spans="1:21">
      <c r="A76" s="22" t="str">
        <f>'Opportunity Model'!A76</f>
        <v>Prince Edward County</v>
      </c>
      <c r="B76" s="22" t="str">
        <f>'Opportunity Model'!B76</f>
        <v>County</v>
      </c>
      <c r="C76" s="3" t="s">
        <v>351</v>
      </c>
      <c r="D76" s="22" t="str">
        <f>'Opportunity Model'!D76</f>
        <v>On Nov 2026 ballot</v>
      </c>
      <c r="E76" s="22">
        <f>'Opportunity Model'!E76</f>
        <v>1</v>
      </c>
      <c r="F76" s="23">
        <f>'Opportunity Model'!G76</f>
        <v>141207999.49744684</v>
      </c>
      <c r="G76" s="23">
        <f>'Opportunity Model'!F76</f>
        <v>5025615.218262054</v>
      </c>
      <c r="H76" s="45">
        <f>'Region Needs Profile'!B13</f>
        <v>-7.3999999999999996E-2</v>
      </c>
      <c r="I76" s="46">
        <f>'Region Needs Profile'!C13</f>
        <v>58</v>
      </c>
      <c r="J76" s="47">
        <f>'Region Needs Profile'!P13</f>
        <v>-87.624466571835001</v>
      </c>
      <c r="K76" s="3" t="str">
        <f>IF($F76&gt;=PERCENTILE($F$6:$F$138,0.75),"High",IF($F76&gt;=PERCENTILE($F$6:$F$138,0.4),"Moderate","Low"))</f>
        <v>Moderate</v>
      </c>
      <c r="L76" s="3" t="str">
        <f>IF($J76&gt;=40,"New build / PPEA",IF($J76&lt;=-40,IF($K76="Low","Retrofit + state stack","Retrofit / ESPC"),IF($K76="High","Blended programme","Selective retrofit")))</f>
        <v>Retrofit / ESPC</v>
      </c>
      <c r="M76" s="3" t="str">
        <f>IF($L76="New build / PPEA","Levy-backed debt + PPEA availability payment + SCAP 10%",IF($L76="Retrofit + state stack","SCAP 20-30% + Literary Fund + levy + guaranteed savings",IF($L76="Retrofit / ESPC","Levy + guaranteed savings + VPSA pooled bond",IF($L76="Blended programme","Levy-backed debt + ESPC on the retained estate","SCAP + Literary Fund + guaranteed savings"))))</f>
        <v>Levy + guaranteed savings + VPSA pooled bond</v>
      </c>
      <c r="N76" s="35">
        <f>IF(OR($L76="Retrofit / ESPC",$L76="Retrofit + state stack"),$B$142,IF($L76="New build / PPEA",$B$144,$B$143))</f>
        <v>1</v>
      </c>
      <c r="O76" s="35">
        <f>IF($D76="On Nov 2026 ballot",$B$145,IF($D76="Levying since 2020-23",$B$147,IF($D76="Deferred, eyeing 2027",$B$148,$B$146)))</f>
        <v>1</v>
      </c>
      <c r="P76" s="34">
        <f>IF($E76=0,"",($F76/MAX($F$6:$F$138))^0.38*100*$N76*$O76)</f>
        <v>21.714292016245754</v>
      </c>
      <c r="Q76" s="48" t="str">
        <f>IF($E76=0,"","P"&amp;MIN(4,ROUNDUP(RANK($P76,$P$6:$P$138)/COUNT($P$6:$P$138)*4,0)))</f>
        <v>P1</v>
      </c>
      <c r="R76" s="3" t="str">
        <f>IF($D76="On Nov 2026 ballot","Wave 1 - position before the vote",IF($D76="Deferred, eyeing 2027","Wave 3 - 2027 referendum cycle",IF($D76="Levying since 2020-23","Wave 2 - next phase / displace incumbent","Wave 1 - VERIFY referendum status first")))</f>
        <v>Wave 1 - position before the vote</v>
      </c>
      <c r="S76" s="3" t="str">
        <f>IF($L76="Retrofit + state stack","SCAP application support + no-cost condition assessment",IF($L76="Retrofit / ESPC","No-cost facility condition assessment",IF($L76="New build / PPEA","PPEA concept + capital sequencing review",IF($L76="Blended programme","Capital programme structuring review","Targeted HVAC and roof scope review"))))</f>
        <v>No-cost facility condition assessment</v>
      </c>
      <c r="T76" s="49"/>
      <c r="U76" s="49"/>
    </row>
    <row r="77" spans="1:21">
      <c r="A77" s="50" t="str">
        <f>'Opportunity Model'!A77</f>
        <v>Prince George County</v>
      </c>
      <c r="B77" s="50" t="str">
        <f>'Opportunity Model'!B77</f>
        <v>County</v>
      </c>
      <c r="C77" s="51" t="s">
        <v>351</v>
      </c>
      <c r="D77" s="50" t="str">
        <f>'Opportunity Model'!D77</f>
        <v>No public action found</v>
      </c>
      <c r="E77" s="50">
        <f>'Opportunity Model'!E77</f>
        <v>1</v>
      </c>
      <c r="F77" s="52">
        <f>'Opportunity Model'!G77</f>
        <v>154077535.38905168</v>
      </c>
      <c r="G77" s="52">
        <f>'Opportunity Model'!F77</f>
        <v>4950316.0270843888</v>
      </c>
      <c r="H77" s="53">
        <f>'Region Needs Profile'!B13</f>
        <v>-7.3999999999999996E-2</v>
      </c>
      <c r="I77" s="54">
        <f>'Region Needs Profile'!C13</f>
        <v>58</v>
      </c>
      <c r="J77" s="55">
        <f>'Region Needs Profile'!P13</f>
        <v>-87.624466571835001</v>
      </c>
      <c r="K77" s="51" t="str">
        <f>IF($F77&gt;=PERCENTILE($F$6:$F$138,0.75),"High",IF($F77&gt;=PERCENTILE($F$6:$F$138,0.4),"Moderate","Low"))</f>
        <v>Moderate</v>
      </c>
      <c r="L77" s="51" t="str">
        <f>IF($J77&gt;=40,"New build / PPEA",IF($J77&lt;=-40,IF($K77="Low","Retrofit + state stack","Retrofit / ESPC"),IF($K77="High","Blended programme","Selective retrofit")))</f>
        <v>Retrofit / ESPC</v>
      </c>
      <c r="M77" s="51" t="str">
        <f>IF($L77="New build / PPEA","Levy-backed debt + PPEA availability payment + SCAP 10%",IF($L77="Retrofit + state stack","SCAP 20-30% + Literary Fund + levy + guaranteed savings",IF($L77="Retrofit / ESPC","Levy + guaranteed savings + VPSA pooled bond",IF($L77="Blended programme","Levy-backed debt + ESPC on the retained estate","SCAP + Literary Fund + guaranteed savings"))))</f>
        <v>Levy + guaranteed savings + VPSA pooled bond</v>
      </c>
      <c r="N77" s="35">
        <f>IF(OR($L77="Retrofit / ESPC",$L77="Retrofit + state stack"),$B$142,IF($L77="New build / PPEA",$B$144,$B$143))</f>
        <v>1</v>
      </c>
      <c r="O77" s="35">
        <f>IF($D77="On Nov 2026 ballot",$B$145,IF($D77="Levying since 2020-23",$B$147,IF($D77="Deferred, eyeing 2027",$B$148,$B$146)))</f>
        <v>0.8</v>
      </c>
      <c r="P77" s="34">
        <f>IF($E77=0,"",($F77/MAX($F$6:$F$138))^0.38*100*$N77*$O77)</f>
        <v>17.956846471788751</v>
      </c>
      <c r="Q77" s="48" t="str">
        <f>IF($E77=0,"","P"&amp;MIN(4,ROUNDUP(RANK($P77,$P$6:$P$138)/COUNT($P$6:$P$138)*4,0)))</f>
        <v>P1</v>
      </c>
      <c r="R77" s="3" t="str">
        <f>IF($D77="On Nov 2026 ballot","Wave 1 - position before the vote",IF($D77="Deferred, eyeing 2027","Wave 3 - 2027 referendum cycle",IF($D77="Levying since 2020-23","Wave 2 - next phase / displace incumbent","Wave 1 - VERIFY referendum status first")))</f>
        <v>Wave 1 - VERIFY referendum status first</v>
      </c>
      <c r="S77" s="3" t="str">
        <f>IF($L77="Retrofit + state stack","SCAP application support + no-cost condition assessment",IF($L77="Retrofit / ESPC","No-cost facility condition assessment",IF($L77="New build / PPEA","PPEA concept + capital sequencing review",IF($L77="Blended programme","Capital programme structuring review","Targeted HVAC and roof scope review"))))</f>
        <v>No-cost facility condition assessment</v>
      </c>
      <c r="T77" s="49"/>
      <c r="U77" s="49"/>
    </row>
    <row r="78" spans="1:21">
      <c r="A78" s="22" t="str">
        <f>'Opportunity Model'!A78</f>
        <v>Prince William County</v>
      </c>
      <c r="B78" s="22" t="str">
        <f>'Opportunity Model'!B78</f>
        <v>County</v>
      </c>
      <c r="C78" s="3" t="s">
        <v>347</v>
      </c>
      <c r="D78" s="22" t="str">
        <f>'Opportunity Model'!D78</f>
        <v>Deferred, eyeing 2027</v>
      </c>
      <c r="E78" s="22">
        <f>'Opportunity Model'!E78</f>
        <v>1</v>
      </c>
      <c r="F78" s="23">
        <f>'Opportunity Model'!G78</f>
        <v>3318304969.8441148</v>
      </c>
      <c r="G78" s="23">
        <f>'Opportunity Model'!F78</f>
        <v>109471910.29518431</v>
      </c>
      <c r="H78" s="45">
        <f>'Region Needs Profile'!B9</f>
        <v>7.9399999999999998E-2</v>
      </c>
      <c r="I78" s="46">
        <f>'Region Needs Profile'!C9</f>
        <v>48</v>
      </c>
      <c r="J78" s="47">
        <f>'Region Needs Profile'!P9</f>
        <v>54.342196447459614</v>
      </c>
      <c r="K78" s="3" t="str">
        <f>IF($F78&gt;=PERCENTILE($F$6:$F$138,0.75),"High",IF($F78&gt;=PERCENTILE($F$6:$F$138,0.4),"Moderate","Low"))</f>
        <v>High</v>
      </c>
      <c r="L78" s="3" t="str">
        <f>IF($J78&gt;=40,"New build / PPEA",IF($J78&lt;=-40,IF($K78="Low","Retrofit + state stack","Retrofit / ESPC"),IF($K78="High","Blended programme","Selective retrofit")))</f>
        <v>New build / PPEA</v>
      </c>
      <c r="M78" s="3" t="str">
        <f>IF($L78="New build / PPEA","Levy-backed debt + PPEA availability payment + SCAP 10%",IF($L78="Retrofit + state stack","SCAP 20-30% + Literary Fund + levy + guaranteed savings",IF($L78="Retrofit / ESPC","Levy + guaranteed savings + VPSA pooled bond",IF($L78="Blended programme","Levy-backed debt + ESPC on the retained estate","SCAP + Literary Fund + guaranteed savings"))))</f>
        <v>Levy-backed debt + PPEA availability payment + SCAP 10%</v>
      </c>
      <c r="N78" s="35">
        <f>IF(OR($L78="Retrofit / ESPC",$L78="Retrofit + state stack"),$B$142,IF($L78="New build / PPEA",$B$144,$B$143))</f>
        <v>0.45</v>
      </c>
      <c r="O78" s="35">
        <f>IF($D78="On Nov 2026 ballot",$B$145,IF($D78="Levying since 2020-23",$B$147,IF($D78="Deferred, eyeing 2027",$B$148,$B$146)))</f>
        <v>0.55000000000000004</v>
      </c>
      <c r="P78" s="34">
        <f>IF($E78=0,"",($F78/MAX($F$6:$F$138))^0.38*100*$N78*$O78)</f>
        <v>17.837029728338265</v>
      </c>
      <c r="Q78" s="48" t="str">
        <f>IF($E78=0,"","P"&amp;MIN(4,ROUNDUP(RANK($P78,$P$6:$P$138)/COUNT($P$6:$P$138)*4,0)))</f>
        <v>P1</v>
      </c>
      <c r="R78" s="3" t="str">
        <f>IF($D78="On Nov 2026 ballot","Wave 1 - position before the vote",IF($D78="Deferred, eyeing 2027","Wave 3 - 2027 referendum cycle",IF($D78="Levying since 2020-23","Wave 2 - next phase / displace incumbent","Wave 1 - VERIFY referendum status first")))</f>
        <v>Wave 3 - 2027 referendum cycle</v>
      </c>
      <c r="S78" s="3" t="str">
        <f>IF($L78="Retrofit + state stack","SCAP application support + no-cost condition assessment",IF($L78="Retrofit / ESPC","No-cost facility condition assessment",IF($L78="New build / PPEA","PPEA concept + capital sequencing review",IF($L78="Blended programme","Capital programme structuring review","Targeted HVAC and roof scope review"))))</f>
        <v>PPEA concept + capital sequencing review</v>
      </c>
      <c r="T78" s="49"/>
      <c r="U78" s="49"/>
    </row>
    <row r="79" spans="1:21">
      <c r="A79" s="50" t="str">
        <f>'Opportunity Model'!A79</f>
        <v>Pulaski County</v>
      </c>
      <c r="B79" s="50" t="str">
        <f>'Opportunity Model'!B79</f>
        <v>County</v>
      </c>
      <c r="C79" s="51" t="s">
        <v>350</v>
      </c>
      <c r="D79" s="50" t="str">
        <f>'Opportunity Model'!D79</f>
        <v>No public action found</v>
      </c>
      <c r="E79" s="50">
        <f>'Opportunity Model'!E79</f>
        <v>1</v>
      </c>
      <c r="F79" s="52">
        <f>'Opportunity Model'!G79</f>
        <v>184992736.5271979</v>
      </c>
      <c r="G79" s="52">
        <f>'Opportunity Model'!F79</f>
        <v>6506101.4147170093</v>
      </c>
      <c r="H79" s="53">
        <f>'Region Needs Profile'!B12</f>
        <v>-0.10009999999999999</v>
      </c>
      <c r="I79" s="54">
        <f>'Region Needs Profile'!C12</f>
        <v>58</v>
      </c>
      <c r="J79" s="55">
        <f>'Region Needs Profile'!P12</f>
        <v>-93.064667291471423</v>
      </c>
      <c r="K79" s="51" t="str">
        <f>IF($F79&gt;=PERCENTILE($F$6:$F$138,0.75),"High",IF($F79&gt;=PERCENTILE($F$6:$F$138,0.4),"Moderate","Low"))</f>
        <v>Moderate</v>
      </c>
      <c r="L79" s="51" t="str">
        <f>IF($J79&gt;=40,"New build / PPEA",IF($J79&lt;=-40,IF($K79="Low","Retrofit + state stack","Retrofit / ESPC"),IF($K79="High","Blended programme","Selective retrofit")))</f>
        <v>Retrofit / ESPC</v>
      </c>
      <c r="M79" s="51" t="str">
        <f>IF($L79="New build / PPEA","Levy-backed debt + PPEA availability payment + SCAP 10%",IF($L79="Retrofit + state stack","SCAP 20-30% + Literary Fund + levy + guaranteed savings",IF($L79="Retrofit / ESPC","Levy + guaranteed savings + VPSA pooled bond",IF($L79="Blended programme","Levy-backed debt + ESPC on the retained estate","SCAP + Literary Fund + guaranteed savings"))))</f>
        <v>Levy + guaranteed savings + VPSA pooled bond</v>
      </c>
      <c r="N79" s="35">
        <f>IF(OR($L79="Retrofit / ESPC",$L79="Retrofit + state stack"),$B$142,IF($L79="New build / PPEA",$B$144,$B$143))</f>
        <v>1</v>
      </c>
      <c r="O79" s="35">
        <f>IF($D79="On Nov 2026 ballot",$B$145,IF($D79="Levying since 2020-23",$B$147,IF($D79="Deferred, eyeing 2027",$B$148,$B$146)))</f>
        <v>0.8</v>
      </c>
      <c r="P79" s="34">
        <f>IF($E79=0,"",($F79/MAX($F$6:$F$138))^0.38*100*$N79*$O79)</f>
        <v>19.248988098961846</v>
      </c>
      <c r="Q79" s="48" t="str">
        <f>IF($E79=0,"","P"&amp;MIN(4,ROUNDUP(RANK($P79,$P$6:$P$138)/COUNT($P$6:$P$138)*4,0)))</f>
        <v>P1</v>
      </c>
      <c r="R79" s="3" t="str">
        <f>IF($D79="On Nov 2026 ballot","Wave 1 - position before the vote",IF($D79="Deferred, eyeing 2027","Wave 3 - 2027 referendum cycle",IF($D79="Levying since 2020-23","Wave 2 - next phase / displace incumbent","Wave 1 - VERIFY referendum status first")))</f>
        <v>Wave 1 - VERIFY referendum status first</v>
      </c>
      <c r="S79" s="3" t="str">
        <f>IF($L79="Retrofit + state stack","SCAP application support + no-cost condition assessment",IF($L79="Retrofit / ESPC","No-cost facility condition assessment",IF($L79="New build / PPEA","PPEA concept + capital sequencing review",IF($L79="Blended programme","Capital programme structuring review","Targeted HVAC and roof scope review"))))</f>
        <v>No-cost facility condition assessment</v>
      </c>
      <c r="T79" s="49"/>
      <c r="U79" s="49"/>
    </row>
    <row r="80" spans="1:21">
      <c r="A80" s="22" t="str">
        <f>'Opportunity Model'!A80</f>
        <v>Rappahannock County</v>
      </c>
      <c r="B80" s="22" t="str">
        <f>'Opportunity Model'!B80</f>
        <v>County</v>
      </c>
      <c r="C80" s="3" t="s">
        <v>347</v>
      </c>
      <c r="D80" s="22" t="str">
        <f>'Opportunity Model'!D80</f>
        <v>No public action found</v>
      </c>
      <c r="E80" s="22">
        <f>'Opportunity Model'!E80</f>
        <v>1</v>
      </c>
      <c r="F80" s="23">
        <f>'Opportunity Model'!G80</f>
        <v>36811390.601836592</v>
      </c>
      <c r="G80" s="23">
        <f>'Opportunity Model'!F80</f>
        <v>1191465.5577791019</v>
      </c>
      <c r="H80" s="45">
        <f>'Region Needs Profile'!B9</f>
        <v>7.9399999999999998E-2</v>
      </c>
      <c r="I80" s="46">
        <f>'Region Needs Profile'!C9</f>
        <v>48</v>
      </c>
      <c r="J80" s="47">
        <f>'Region Needs Profile'!P9</f>
        <v>54.342196447459614</v>
      </c>
      <c r="K80" s="3" t="str">
        <f>IF($F80&gt;=PERCENTILE($F$6:$F$138,0.75),"High",IF($F80&gt;=PERCENTILE($F$6:$F$138,0.4),"Moderate","Low"))</f>
        <v>Low</v>
      </c>
      <c r="L80" s="3" t="str">
        <f>IF($J80&gt;=40,"New build / PPEA",IF($J80&lt;=-40,IF($K80="Low","Retrofit + state stack","Retrofit / ESPC"),IF($K80="High","Blended programme","Selective retrofit")))</f>
        <v>New build / PPEA</v>
      </c>
      <c r="M80" s="3" t="str">
        <f>IF($L80="New build / PPEA","Levy-backed debt + PPEA availability payment + SCAP 10%",IF($L80="Retrofit + state stack","SCAP 20-30% + Literary Fund + levy + guaranteed savings",IF($L80="Retrofit / ESPC","Levy + guaranteed savings + VPSA pooled bond",IF($L80="Blended programme","Levy-backed debt + ESPC on the retained estate","SCAP + Literary Fund + guaranteed savings"))))</f>
        <v>Levy-backed debt + PPEA availability payment + SCAP 10%</v>
      </c>
      <c r="N80" s="35">
        <f>IF(OR($L80="Retrofit / ESPC",$L80="Retrofit + state stack"),$B$142,IF($L80="New build / PPEA",$B$144,$B$143))</f>
        <v>0.45</v>
      </c>
      <c r="O80" s="35">
        <f>IF($D80="On Nov 2026 ballot",$B$145,IF($D80="Levying since 2020-23",$B$147,IF($D80="Deferred, eyeing 2027",$B$148,$B$146)))</f>
        <v>0.8</v>
      </c>
      <c r="P80" s="34">
        <f>IF($E80=0,"",($F80/MAX($F$6:$F$138))^0.38*100*$N80*$O80)</f>
        <v>4.6900220619492208</v>
      </c>
      <c r="Q80" s="48" t="str">
        <f>IF($E80=0,"","P"&amp;MIN(4,ROUNDUP(RANK($P80,$P$6:$P$138)/COUNT($P$6:$P$138)*4,0)))</f>
        <v>P4</v>
      </c>
      <c r="R80" s="3" t="str">
        <f>IF($D80="On Nov 2026 ballot","Wave 1 - position before the vote",IF($D80="Deferred, eyeing 2027","Wave 3 - 2027 referendum cycle",IF($D80="Levying since 2020-23","Wave 2 - next phase / displace incumbent","Wave 1 - VERIFY referendum status first")))</f>
        <v>Wave 1 - VERIFY referendum status first</v>
      </c>
      <c r="S80" s="3" t="str">
        <f>IF($L80="Retrofit + state stack","SCAP application support + no-cost condition assessment",IF($L80="Retrofit / ESPC","No-cost facility condition assessment",IF($L80="New build / PPEA","PPEA concept + capital sequencing review",IF($L80="Blended programme","Capital programme structuring review","Targeted HVAC and roof scope review"))))</f>
        <v>PPEA concept + capital sequencing review</v>
      </c>
      <c r="T80" s="49"/>
      <c r="U80" s="49"/>
    </row>
    <row r="81" spans="1:21">
      <c r="A81" s="50" t="str">
        <f>'Opportunity Model'!A81</f>
        <v>Richmond County</v>
      </c>
      <c r="B81" s="50" t="str">
        <f>'Opportunity Model'!B81</f>
        <v>County</v>
      </c>
      <c r="C81" s="51" t="s">
        <v>346</v>
      </c>
      <c r="D81" s="50" t="str">
        <f>'Opportunity Model'!D81</f>
        <v>No public action found</v>
      </c>
      <c r="E81" s="50">
        <f>'Opportunity Model'!E81</f>
        <v>1</v>
      </c>
      <c r="F81" s="52">
        <f>'Opportunity Model'!G81</f>
        <v>48403147.93249207</v>
      </c>
      <c r="G81" s="52">
        <f>'Opportunity Model'!F81</f>
        <v>1831044.7254112076</v>
      </c>
      <c r="H81" s="53">
        <f>'Region Needs Profile'!B8</f>
        <v>0.1108</v>
      </c>
      <c r="I81" s="54">
        <f>'Region Needs Profile'!C8</f>
        <v>32</v>
      </c>
      <c r="J81" s="55">
        <f>'Region Needs Profile'!P8</f>
        <v>86.269915651358943</v>
      </c>
      <c r="K81" s="51" t="str">
        <f>IF($F81&gt;=PERCENTILE($F$6:$F$138,0.75),"High",IF($F81&gt;=PERCENTILE($F$6:$F$138,0.4),"Moderate","Low"))</f>
        <v>Low</v>
      </c>
      <c r="L81" s="51" t="str">
        <f>IF($J81&gt;=40,"New build / PPEA",IF($J81&lt;=-40,IF($K81="Low","Retrofit + state stack","Retrofit / ESPC"),IF($K81="High","Blended programme","Selective retrofit")))</f>
        <v>New build / PPEA</v>
      </c>
      <c r="M81" s="51" t="str">
        <f>IF($L81="New build / PPEA","Levy-backed debt + PPEA availability payment + SCAP 10%",IF($L81="Retrofit + state stack","SCAP 20-30% + Literary Fund + levy + guaranteed savings",IF($L81="Retrofit / ESPC","Levy + guaranteed savings + VPSA pooled bond",IF($L81="Blended programme","Levy-backed debt + ESPC on the retained estate","SCAP + Literary Fund + guaranteed savings"))))</f>
        <v>Levy-backed debt + PPEA availability payment + SCAP 10%</v>
      </c>
      <c r="N81" s="35">
        <f>IF(OR($L81="Retrofit / ESPC",$L81="Retrofit + state stack"),$B$142,IF($L81="New build / PPEA",$B$144,$B$143))</f>
        <v>0.45</v>
      </c>
      <c r="O81" s="35">
        <f>IF($D81="On Nov 2026 ballot",$B$145,IF($D81="Levying since 2020-23",$B$147,IF($D81="Deferred, eyeing 2027",$B$148,$B$146)))</f>
        <v>0.8</v>
      </c>
      <c r="P81" s="34">
        <f>IF($E81=0,"",($F81/MAX($F$6:$F$138))^0.38*100*$N81*$O81)</f>
        <v>5.2041956017852744</v>
      </c>
      <c r="Q81" s="48" t="str">
        <f>IF($E81=0,"","P"&amp;MIN(4,ROUNDUP(RANK($P81,$P$6:$P$138)/COUNT($P$6:$P$138)*4,0)))</f>
        <v>P4</v>
      </c>
      <c r="R81" s="3" t="str">
        <f>IF($D81="On Nov 2026 ballot","Wave 1 - position before the vote",IF($D81="Deferred, eyeing 2027","Wave 3 - 2027 referendum cycle",IF($D81="Levying since 2020-23","Wave 2 - next phase / displace incumbent","Wave 1 - VERIFY referendum status first")))</f>
        <v>Wave 1 - VERIFY referendum status first</v>
      </c>
      <c r="S81" s="3" t="str">
        <f>IF($L81="Retrofit + state stack","SCAP application support + no-cost condition assessment",IF($L81="Retrofit / ESPC","No-cost facility condition assessment",IF($L81="New build / PPEA","PPEA concept + capital sequencing review",IF($L81="Blended programme","Capital programme structuring review","Targeted HVAC and roof scope review"))))</f>
        <v>PPEA concept + capital sequencing review</v>
      </c>
      <c r="T81" s="49"/>
      <c r="U81" s="49"/>
    </row>
    <row r="82" spans="1:21">
      <c r="A82" s="22" t="str">
        <f>'Opportunity Model'!A82</f>
        <v>Roanoke County</v>
      </c>
      <c r="B82" s="22" t="str">
        <f>'Opportunity Model'!B82</f>
        <v>County</v>
      </c>
      <c r="C82" s="3" t="s">
        <v>349</v>
      </c>
      <c r="D82" s="22" t="str">
        <f>'Opportunity Model'!D82</f>
        <v>No public action found</v>
      </c>
      <c r="E82" s="22">
        <f>'Opportunity Model'!E82</f>
        <v>1</v>
      </c>
      <c r="F82" s="23">
        <f>'Opportunity Model'!G82</f>
        <v>554058918.36307204</v>
      </c>
      <c r="G82" s="23">
        <f>'Opportunity Model'!F82</f>
        <v>19065312.419314284</v>
      </c>
      <c r="H82" s="45">
        <f>'Region Needs Profile'!B11</f>
        <v>-6.7799999999999999E-2</v>
      </c>
      <c r="I82" s="46">
        <f>'Region Needs Profile'!C11</f>
        <v>58</v>
      </c>
      <c r="J82" s="47">
        <f>'Region Needs Profile'!P11</f>
        <v>-65.331357599398828</v>
      </c>
      <c r="K82" s="3" t="str">
        <f>IF($F82&gt;=PERCENTILE($F$6:$F$138,0.75),"High",IF($F82&gt;=PERCENTILE($F$6:$F$138,0.4),"Moderate","Low"))</f>
        <v>High</v>
      </c>
      <c r="L82" s="3" t="str">
        <f>IF($J82&gt;=40,"New build / PPEA",IF($J82&lt;=-40,IF($K82="Low","Retrofit + state stack","Retrofit / ESPC"),IF($K82="High","Blended programme","Selective retrofit")))</f>
        <v>Retrofit / ESPC</v>
      </c>
      <c r="M82" s="3" t="str">
        <f>IF($L82="New build / PPEA","Levy-backed debt + PPEA availability payment + SCAP 10%",IF($L82="Retrofit + state stack","SCAP 20-30% + Literary Fund + levy + guaranteed savings",IF($L82="Retrofit / ESPC","Levy + guaranteed savings + VPSA pooled bond",IF($L82="Blended programme","Levy-backed debt + ESPC on the retained estate","SCAP + Literary Fund + guaranteed savings"))))</f>
        <v>Levy + guaranteed savings + VPSA pooled bond</v>
      </c>
      <c r="N82" s="35">
        <f>IF(OR($L82="Retrofit / ESPC",$L82="Retrofit + state stack"),$B$142,IF($L82="New build / PPEA",$B$144,$B$143))</f>
        <v>1</v>
      </c>
      <c r="O82" s="35">
        <f>IF($D82="On Nov 2026 ballot",$B$145,IF($D82="Levying since 2020-23",$B$147,IF($D82="Deferred, eyeing 2027",$B$148,$B$146)))</f>
        <v>0.8</v>
      </c>
      <c r="P82" s="34">
        <f>IF($E82=0,"",($F82/MAX($F$6:$F$138))^0.38*100*$N82*$O82)</f>
        <v>29.203868738017832</v>
      </c>
      <c r="Q82" s="48" t="str">
        <f>IF($E82=0,"","P"&amp;MIN(4,ROUNDUP(RANK($P82,$P$6:$P$138)/COUNT($P$6:$P$138)*4,0)))</f>
        <v>P1</v>
      </c>
      <c r="R82" s="3" t="str">
        <f>IF($D82="On Nov 2026 ballot","Wave 1 - position before the vote",IF($D82="Deferred, eyeing 2027","Wave 3 - 2027 referendum cycle",IF($D82="Levying since 2020-23","Wave 2 - next phase / displace incumbent","Wave 1 - VERIFY referendum status first")))</f>
        <v>Wave 1 - VERIFY referendum status first</v>
      </c>
      <c r="S82" s="3" t="str">
        <f>IF($L82="Retrofit + state stack","SCAP application support + no-cost condition assessment",IF($L82="Retrofit / ESPC","No-cost facility condition assessment",IF($L82="New build / PPEA","PPEA concept + capital sequencing review",IF($L82="Blended programme","Capital programme structuring review","Targeted HVAC and roof scope review"))))</f>
        <v>No-cost facility condition assessment</v>
      </c>
      <c r="T82" s="49"/>
      <c r="U82" s="49"/>
    </row>
    <row r="83" spans="1:21">
      <c r="A83" s="50" t="str">
        <f>'Opportunity Model'!A83</f>
        <v>Rockbridge County</v>
      </c>
      <c r="B83" s="50" t="str">
        <f>'Opportunity Model'!B83</f>
        <v>County</v>
      </c>
      <c r="C83" s="51" t="s">
        <v>348</v>
      </c>
      <c r="D83" s="50" t="str">
        <f>'Opportunity Model'!D83</f>
        <v>No public action found</v>
      </c>
      <c r="E83" s="50">
        <f>'Opportunity Model'!E83</f>
        <v>1</v>
      </c>
      <c r="F83" s="52">
        <f>'Opportunity Model'!G83</f>
        <v>157943912.25791922</v>
      </c>
      <c r="G83" s="52">
        <f>'Opportunity Model'!F83</f>
        <v>5037039.3453935813</v>
      </c>
      <c r="H83" s="53">
        <f>'Region Needs Profile'!B10</f>
        <v>3.0099999999999998E-2</v>
      </c>
      <c r="I83" s="54">
        <f>'Region Needs Profile'!C10</f>
        <v>55</v>
      </c>
      <c r="J83" s="55">
        <f>'Region Needs Profile'!P10</f>
        <v>10.405306444373188</v>
      </c>
      <c r="K83" s="51" t="str">
        <f>IF($F83&gt;=PERCENTILE($F$6:$F$138,0.75),"High",IF($F83&gt;=PERCENTILE($F$6:$F$138,0.4),"Moderate","Low"))</f>
        <v>Moderate</v>
      </c>
      <c r="L83" s="51" t="str">
        <f>IF($J83&gt;=40,"New build / PPEA",IF($J83&lt;=-40,IF($K83="Low","Retrofit + state stack","Retrofit / ESPC"),IF($K83="High","Blended programme","Selective retrofit")))</f>
        <v>Selective retrofit</v>
      </c>
      <c r="M83" s="51" t="str">
        <f>IF($L83="New build / PPEA","Levy-backed debt + PPEA availability payment + SCAP 10%",IF($L83="Retrofit + state stack","SCAP 20-30% + Literary Fund + levy + guaranteed savings",IF($L83="Retrofit / ESPC","Levy + guaranteed savings + VPSA pooled bond",IF($L83="Blended programme","Levy-backed debt + ESPC on the retained estate","SCAP + Literary Fund + guaranteed savings"))))</f>
        <v>SCAP + Literary Fund + guaranteed savings</v>
      </c>
      <c r="N83" s="35">
        <f>IF(OR($L83="Retrofit / ESPC",$L83="Retrofit + state stack"),$B$142,IF($L83="New build / PPEA",$B$144,$B$143))</f>
        <v>0.7</v>
      </c>
      <c r="O83" s="35">
        <f>IF($D83="On Nov 2026 ballot",$B$145,IF($D83="Levying since 2020-23",$B$147,IF($D83="Deferred, eyeing 2027",$B$148,$B$146)))</f>
        <v>0.8</v>
      </c>
      <c r="P83" s="34">
        <f>IF($E83=0,"",($F83/MAX($F$6:$F$138))^0.38*100*$N83*$O83)</f>
        <v>12.688733192115862</v>
      </c>
      <c r="Q83" s="48" t="str">
        <f>IF($E83=0,"","P"&amp;MIN(4,ROUNDUP(RANK($P83,$P$6:$P$138)/COUNT($P$6:$P$138)*4,0)))</f>
        <v>P3</v>
      </c>
      <c r="R83" s="3" t="str">
        <f>IF($D83="On Nov 2026 ballot","Wave 1 - position before the vote",IF($D83="Deferred, eyeing 2027","Wave 3 - 2027 referendum cycle",IF($D83="Levying since 2020-23","Wave 2 - next phase / displace incumbent","Wave 1 - VERIFY referendum status first")))</f>
        <v>Wave 1 - VERIFY referendum status first</v>
      </c>
      <c r="S83" s="3" t="str">
        <f>IF($L83="Retrofit + state stack","SCAP application support + no-cost condition assessment",IF($L83="Retrofit / ESPC","No-cost facility condition assessment",IF($L83="New build / PPEA","PPEA concept + capital sequencing review",IF($L83="Blended programme","Capital programme structuring review","Targeted HVAC and roof scope review"))))</f>
        <v>Targeted HVAC and roof scope review</v>
      </c>
      <c r="T83" s="49"/>
      <c r="U83" s="49"/>
    </row>
    <row r="84" spans="1:21">
      <c r="A84" s="22" t="str">
        <f>'Opportunity Model'!A84</f>
        <v>Rockingham County</v>
      </c>
      <c r="B84" s="22" t="str">
        <f>'Opportunity Model'!B84</f>
        <v>County</v>
      </c>
      <c r="C84" s="3" t="s">
        <v>348</v>
      </c>
      <c r="D84" s="22" t="str">
        <f>'Opportunity Model'!D84</f>
        <v>No public action found</v>
      </c>
      <c r="E84" s="22">
        <f>'Opportunity Model'!E84</f>
        <v>1</v>
      </c>
      <c r="F84" s="23">
        <f>'Opportunity Model'!G84</f>
        <v>537732458.72291565</v>
      </c>
      <c r="G84" s="23">
        <f>'Opportunity Model'!F84</f>
        <v>16309210.694916204</v>
      </c>
      <c r="H84" s="45">
        <f>'Region Needs Profile'!B10</f>
        <v>3.0099999999999998E-2</v>
      </c>
      <c r="I84" s="46">
        <f>'Region Needs Profile'!C10</f>
        <v>55</v>
      </c>
      <c r="J84" s="47">
        <f>'Region Needs Profile'!P10</f>
        <v>10.405306444373188</v>
      </c>
      <c r="K84" s="3" t="str">
        <f>IF($F84&gt;=PERCENTILE($F$6:$F$138,0.75),"High",IF($F84&gt;=PERCENTILE($F$6:$F$138,0.4),"Moderate","Low"))</f>
        <v>High</v>
      </c>
      <c r="L84" s="3" t="str">
        <f>IF($J84&gt;=40,"New build / PPEA",IF($J84&lt;=-40,IF($K84="Low","Retrofit + state stack","Retrofit / ESPC"),IF($K84="High","Blended programme","Selective retrofit")))</f>
        <v>Blended programme</v>
      </c>
      <c r="M84" s="3" t="str">
        <f>IF($L84="New build / PPEA","Levy-backed debt + PPEA availability payment + SCAP 10%",IF($L84="Retrofit + state stack","SCAP 20-30% + Literary Fund + levy + guaranteed savings",IF($L84="Retrofit / ESPC","Levy + guaranteed savings + VPSA pooled bond",IF($L84="Blended programme","Levy-backed debt + ESPC on the retained estate","SCAP + Literary Fund + guaranteed savings"))))</f>
        <v>Levy-backed debt + ESPC on the retained estate</v>
      </c>
      <c r="N84" s="35">
        <f>IF(OR($L84="Retrofit / ESPC",$L84="Retrofit + state stack"),$B$142,IF($L84="New build / PPEA",$B$144,$B$143))</f>
        <v>0.7</v>
      </c>
      <c r="O84" s="35">
        <f>IF($D84="On Nov 2026 ballot",$B$145,IF($D84="Levying since 2020-23",$B$147,IF($D84="Deferred, eyeing 2027",$B$148,$B$146)))</f>
        <v>0.8</v>
      </c>
      <c r="P84" s="34">
        <f>IF($E84=0,"",($F84/MAX($F$6:$F$138))^0.38*100*$N84*$O84)</f>
        <v>20.211676695664728</v>
      </c>
      <c r="Q84" s="48" t="str">
        <f>IF($E84=0,"","P"&amp;MIN(4,ROUNDUP(RANK($P84,$P$6:$P$138)/COUNT($P$6:$P$138)*4,0)))</f>
        <v>P1</v>
      </c>
      <c r="R84" s="3" t="str">
        <f>IF($D84="On Nov 2026 ballot","Wave 1 - position before the vote",IF($D84="Deferred, eyeing 2027","Wave 3 - 2027 referendum cycle",IF($D84="Levying since 2020-23","Wave 2 - next phase / displace incumbent","Wave 1 - VERIFY referendum status first")))</f>
        <v>Wave 1 - VERIFY referendum status first</v>
      </c>
      <c r="S84" s="3" t="str">
        <f>IF($L84="Retrofit + state stack","SCAP application support + no-cost condition assessment",IF($L84="Retrofit / ESPC","No-cost facility condition assessment",IF($L84="New build / PPEA","PPEA concept + capital sequencing review",IF($L84="Blended programme","Capital programme structuring review","Targeted HVAC and roof scope review"))))</f>
        <v>Capital programme structuring review</v>
      </c>
      <c r="T84" s="49"/>
      <c r="U84" s="49"/>
    </row>
    <row r="85" spans="1:21">
      <c r="A85" s="50" t="str">
        <f>'Opportunity Model'!A85</f>
        <v>Russell County</v>
      </c>
      <c r="B85" s="50" t="str">
        <f>'Opportunity Model'!B85</f>
        <v>County</v>
      </c>
      <c r="C85" s="51" t="s">
        <v>350</v>
      </c>
      <c r="D85" s="50" t="str">
        <f>'Opportunity Model'!D85</f>
        <v>No public action found</v>
      </c>
      <c r="E85" s="50">
        <f>'Opportunity Model'!E85</f>
        <v>1</v>
      </c>
      <c r="F85" s="52">
        <f>'Opportunity Model'!G85</f>
        <v>80094198.350504771</v>
      </c>
      <c r="G85" s="52">
        <f>'Opportunity Model'!F85</f>
        <v>2959488.0148748718</v>
      </c>
      <c r="H85" s="53">
        <f>'Region Needs Profile'!B12</f>
        <v>-0.10009999999999999</v>
      </c>
      <c r="I85" s="54">
        <f>'Region Needs Profile'!C12</f>
        <v>58</v>
      </c>
      <c r="J85" s="55">
        <f>'Region Needs Profile'!P12</f>
        <v>-93.064667291471423</v>
      </c>
      <c r="K85" s="51" t="str">
        <f>IF($F85&gt;=PERCENTILE($F$6:$F$138,0.75),"High",IF($F85&gt;=PERCENTILE($F$6:$F$138,0.4),"Moderate","Low"))</f>
        <v>Low</v>
      </c>
      <c r="L85" s="51" t="str">
        <f>IF($J85&gt;=40,"New build / PPEA",IF($J85&lt;=-40,IF($K85="Low","Retrofit + state stack","Retrofit / ESPC"),IF($K85="High","Blended programme","Selective retrofit")))</f>
        <v>Retrofit + state stack</v>
      </c>
      <c r="M85" s="51" t="str">
        <f>IF($L85="New build / PPEA","Levy-backed debt + PPEA availability payment + SCAP 10%",IF($L85="Retrofit + state stack","SCAP 20-30% + Literary Fund + levy + guaranteed savings",IF($L85="Retrofit / ESPC","Levy + guaranteed savings + VPSA pooled bond",IF($L85="Blended programme","Levy-backed debt + ESPC on the retained estate","SCAP + Literary Fund + guaranteed savings"))))</f>
        <v>SCAP 20-30% + Literary Fund + levy + guaranteed savings</v>
      </c>
      <c r="N85" s="35">
        <f>IF(OR($L85="Retrofit / ESPC",$L85="Retrofit + state stack"),$B$142,IF($L85="New build / PPEA",$B$144,$B$143))</f>
        <v>1</v>
      </c>
      <c r="O85" s="35">
        <f>IF($D85="On Nov 2026 ballot",$B$145,IF($D85="Levying since 2020-23",$B$147,IF($D85="Deferred, eyeing 2027",$B$148,$B$146)))</f>
        <v>0.8</v>
      </c>
      <c r="P85" s="34">
        <f>IF($E85=0,"",($F85/MAX($F$6:$F$138))^0.38*100*$N85*$O85)</f>
        <v>14.004175000980451</v>
      </c>
      <c r="Q85" s="48" t="str">
        <f>IF($E85=0,"","P"&amp;MIN(4,ROUNDUP(RANK($P85,$P$6:$P$138)/COUNT($P$6:$P$138)*4,0)))</f>
        <v>P2</v>
      </c>
      <c r="R85" s="3" t="str">
        <f>IF($D85="On Nov 2026 ballot","Wave 1 - position before the vote",IF($D85="Deferred, eyeing 2027","Wave 3 - 2027 referendum cycle",IF($D85="Levying since 2020-23","Wave 2 - next phase / displace incumbent","Wave 1 - VERIFY referendum status first")))</f>
        <v>Wave 1 - VERIFY referendum status first</v>
      </c>
      <c r="S85" s="3" t="str">
        <f>IF($L85="Retrofit + state stack","SCAP application support + no-cost condition assessment",IF($L85="Retrofit / ESPC","No-cost facility condition assessment",IF($L85="New build / PPEA","PPEA concept + capital sequencing review",IF($L85="Blended programme","Capital programme structuring review","Targeted HVAC and roof scope review"))))</f>
        <v>SCAP application support + no-cost condition assessment</v>
      </c>
      <c r="T85" s="49"/>
      <c r="U85" s="49"/>
    </row>
    <row r="86" spans="1:21">
      <c r="A86" s="22" t="str">
        <f>'Opportunity Model'!A86</f>
        <v>Scott County</v>
      </c>
      <c r="B86" s="22" t="str">
        <f>'Opportunity Model'!B86</f>
        <v>County</v>
      </c>
      <c r="C86" s="3" t="s">
        <v>350</v>
      </c>
      <c r="D86" s="22" t="str">
        <f>'Opportunity Model'!D86</f>
        <v>No public action found</v>
      </c>
      <c r="E86" s="22">
        <f>'Opportunity Model'!E86</f>
        <v>1</v>
      </c>
      <c r="F86" s="23">
        <f>'Opportunity Model'!G86</f>
        <v>68116819.691354156</v>
      </c>
      <c r="G86" s="23">
        <f>'Opportunity Model'!F86</f>
        <v>2496230.6475604791</v>
      </c>
      <c r="H86" s="45">
        <f>'Region Needs Profile'!B12</f>
        <v>-0.10009999999999999</v>
      </c>
      <c r="I86" s="46">
        <f>'Region Needs Profile'!C12</f>
        <v>58</v>
      </c>
      <c r="J86" s="47">
        <f>'Region Needs Profile'!P12</f>
        <v>-93.064667291471423</v>
      </c>
      <c r="K86" s="3" t="str">
        <f>IF($F86&gt;=PERCENTILE($F$6:$F$138,0.75),"High",IF($F86&gt;=PERCENTILE($F$6:$F$138,0.4),"Moderate","Low"))</f>
        <v>Low</v>
      </c>
      <c r="L86" s="3" t="str">
        <f>IF($J86&gt;=40,"New build / PPEA",IF($J86&lt;=-40,IF($K86="Low","Retrofit + state stack","Retrofit / ESPC"),IF($K86="High","Blended programme","Selective retrofit")))</f>
        <v>Retrofit + state stack</v>
      </c>
      <c r="M86" s="3" t="str">
        <f>IF($L86="New build / PPEA","Levy-backed debt + PPEA availability payment + SCAP 10%",IF($L86="Retrofit + state stack","SCAP 20-30% + Literary Fund + levy + guaranteed savings",IF($L86="Retrofit / ESPC","Levy + guaranteed savings + VPSA pooled bond",IF($L86="Blended programme","Levy-backed debt + ESPC on the retained estate","SCAP + Literary Fund + guaranteed savings"))))</f>
        <v>SCAP 20-30% + Literary Fund + levy + guaranteed savings</v>
      </c>
      <c r="N86" s="35">
        <f>IF(OR($L86="Retrofit / ESPC",$L86="Retrofit + state stack"),$B$142,IF($L86="New build / PPEA",$B$144,$B$143))</f>
        <v>1</v>
      </c>
      <c r="O86" s="35">
        <f>IF($D86="On Nov 2026 ballot",$B$145,IF($D86="Levying since 2020-23",$B$147,IF($D86="Deferred, eyeing 2027",$B$148,$B$146)))</f>
        <v>0.8</v>
      </c>
      <c r="P86" s="34">
        <f>IF($E86=0,"",($F86/MAX($F$6:$F$138))^0.38*100*$N86*$O86)</f>
        <v>13.168180919568403</v>
      </c>
      <c r="Q86" s="48" t="str">
        <f>IF($E86=0,"","P"&amp;MIN(4,ROUNDUP(RANK($P86,$P$6:$P$138)/COUNT($P$6:$P$138)*4,0)))</f>
        <v>P3</v>
      </c>
      <c r="R86" s="3" t="str">
        <f>IF($D86="On Nov 2026 ballot","Wave 1 - position before the vote",IF($D86="Deferred, eyeing 2027","Wave 3 - 2027 referendum cycle",IF($D86="Levying since 2020-23","Wave 2 - next phase / displace incumbent","Wave 1 - VERIFY referendum status first")))</f>
        <v>Wave 1 - VERIFY referendum status first</v>
      </c>
      <c r="S86" s="3" t="str">
        <f>IF($L86="Retrofit + state stack","SCAP application support + no-cost condition assessment",IF($L86="Retrofit / ESPC","No-cost facility condition assessment",IF($L86="New build / PPEA","PPEA concept + capital sequencing review",IF($L86="Blended programme","Capital programme structuring review","Targeted HVAC and roof scope review"))))</f>
        <v>SCAP application support + no-cost condition assessment</v>
      </c>
      <c r="T86" s="49"/>
      <c r="U86" s="49"/>
    </row>
    <row r="87" spans="1:21">
      <c r="A87" s="50" t="str">
        <f>'Opportunity Model'!A87</f>
        <v>Shenandoah County</v>
      </c>
      <c r="B87" s="50" t="str">
        <f>'Opportunity Model'!B87</f>
        <v>County</v>
      </c>
      <c r="C87" s="51" t="s">
        <v>347</v>
      </c>
      <c r="D87" s="50" t="str">
        <f>'Opportunity Model'!D87</f>
        <v>No public action found</v>
      </c>
      <c r="E87" s="50">
        <f>'Opportunity Model'!E87</f>
        <v>1</v>
      </c>
      <c r="F87" s="52">
        <f>'Opportunity Model'!G87</f>
        <v>242891664.44127667</v>
      </c>
      <c r="G87" s="52">
        <f>'Opportunity Model'!F87</f>
        <v>7939297.4631834868</v>
      </c>
      <c r="H87" s="53">
        <f>'Region Needs Profile'!B9</f>
        <v>7.9399999999999998E-2</v>
      </c>
      <c r="I87" s="54">
        <f>'Region Needs Profile'!C9</f>
        <v>48</v>
      </c>
      <c r="J87" s="55">
        <f>'Region Needs Profile'!P9</f>
        <v>54.342196447459614</v>
      </c>
      <c r="K87" s="51" t="str">
        <f>IF($F87&gt;=PERCENTILE($F$6:$F$138,0.75),"High",IF($F87&gt;=PERCENTILE($F$6:$F$138,0.4),"Moderate","Low"))</f>
        <v>Moderate</v>
      </c>
      <c r="L87" s="51" t="str">
        <f>IF($J87&gt;=40,"New build / PPEA",IF($J87&lt;=-40,IF($K87="Low","Retrofit + state stack","Retrofit / ESPC"),IF($K87="High","Blended programme","Selective retrofit")))</f>
        <v>New build / PPEA</v>
      </c>
      <c r="M87" s="51" t="str">
        <f>IF($L87="New build / PPEA","Levy-backed debt + PPEA availability payment + SCAP 10%",IF($L87="Retrofit + state stack","SCAP 20-30% + Literary Fund + levy + guaranteed savings",IF($L87="Retrofit / ESPC","Levy + guaranteed savings + VPSA pooled bond",IF($L87="Blended programme","Levy-backed debt + ESPC on the retained estate","SCAP + Literary Fund + guaranteed savings"))))</f>
        <v>Levy-backed debt + PPEA availability payment + SCAP 10%</v>
      </c>
      <c r="N87" s="35">
        <f>IF(OR($L87="Retrofit / ESPC",$L87="Retrofit + state stack"),$B$142,IF($L87="New build / PPEA",$B$144,$B$143))</f>
        <v>0.45</v>
      </c>
      <c r="O87" s="35">
        <f>IF($D87="On Nov 2026 ballot",$B$145,IF($D87="Levying since 2020-23",$B$147,IF($D87="Deferred, eyeing 2027",$B$148,$B$146)))</f>
        <v>0.8</v>
      </c>
      <c r="P87" s="34">
        <f>IF($E87=0,"",($F87/MAX($F$6:$F$138))^0.38*100*$N87*$O87)</f>
        <v>9.6063505965388316</v>
      </c>
      <c r="Q87" s="48" t="str">
        <f>IF($E87=0,"","P"&amp;MIN(4,ROUNDUP(RANK($P87,$P$6:$P$138)/COUNT($P$6:$P$138)*4,0)))</f>
        <v>P3</v>
      </c>
      <c r="R87" s="3" t="str">
        <f>IF($D87="On Nov 2026 ballot","Wave 1 - position before the vote",IF($D87="Deferred, eyeing 2027","Wave 3 - 2027 referendum cycle",IF($D87="Levying since 2020-23","Wave 2 - next phase / displace incumbent","Wave 1 - VERIFY referendum status first")))</f>
        <v>Wave 1 - VERIFY referendum status first</v>
      </c>
      <c r="S87" s="3" t="str">
        <f>IF($L87="Retrofit + state stack","SCAP application support + no-cost condition assessment",IF($L87="Retrofit / ESPC","No-cost facility condition assessment",IF($L87="New build / PPEA","PPEA concept + capital sequencing review",IF($L87="Blended programme","Capital programme structuring review","Targeted HVAC and roof scope review"))))</f>
        <v>PPEA concept + capital sequencing review</v>
      </c>
      <c r="T87" s="49"/>
      <c r="U87" s="49"/>
    </row>
    <row r="88" spans="1:21">
      <c r="A88" s="22" t="str">
        <f>'Opportunity Model'!A88</f>
        <v>Smyth County</v>
      </c>
      <c r="B88" s="22" t="str">
        <f>'Opportunity Model'!B88</f>
        <v>County</v>
      </c>
      <c r="C88" s="3" t="s">
        <v>350</v>
      </c>
      <c r="D88" s="22" t="str">
        <f>'Opportunity Model'!D88</f>
        <v>No public action found</v>
      </c>
      <c r="E88" s="22">
        <f>'Opportunity Model'!E88</f>
        <v>1</v>
      </c>
      <c r="F88" s="23">
        <f>'Opportunity Model'!G88</f>
        <v>109648881.46172997</v>
      </c>
      <c r="G88" s="23">
        <f>'Opportunity Model'!F88</f>
        <v>3948125.3909134869</v>
      </c>
      <c r="H88" s="45">
        <f>'Region Needs Profile'!B12</f>
        <v>-0.10009999999999999</v>
      </c>
      <c r="I88" s="46">
        <f>'Region Needs Profile'!C12</f>
        <v>58</v>
      </c>
      <c r="J88" s="47">
        <f>'Region Needs Profile'!P12</f>
        <v>-93.064667291471423</v>
      </c>
      <c r="K88" s="3" t="str">
        <f>IF($F88&gt;=PERCENTILE($F$6:$F$138,0.75),"High",IF($F88&gt;=PERCENTILE($F$6:$F$138,0.4),"Moderate","Low"))</f>
        <v>Moderate</v>
      </c>
      <c r="L88" s="3" t="str">
        <f>IF($J88&gt;=40,"New build / PPEA",IF($J88&lt;=-40,IF($K88="Low","Retrofit + state stack","Retrofit / ESPC"),IF($K88="High","Blended programme","Selective retrofit")))</f>
        <v>Retrofit / ESPC</v>
      </c>
      <c r="M88" s="3" t="str">
        <f>IF($L88="New build / PPEA","Levy-backed debt + PPEA availability payment + SCAP 10%",IF($L88="Retrofit + state stack","SCAP 20-30% + Literary Fund + levy + guaranteed savings",IF($L88="Retrofit / ESPC","Levy + guaranteed savings + VPSA pooled bond",IF($L88="Blended programme","Levy-backed debt + ESPC on the retained estate","SCAP + Literary Fund + guaranteed savings"))))</f>
        <v>Levy + guaranteed savings + VPSA pooled bond</v>
      </c>
      <c r="N88" s="35">
        <f>IF(OR($L88="Retrofit / ESPC",$L88="Retrofit + state stack"),$B$142,IF($L88="New build / PPEA",$B$144,$B$143))</f>
        <v>1</v>
      </c>
      <c r="O88" s="35">
        <f>IF($D88="On Nov 2026 ballot",$B$145,IF($D88="Levying since 2020-23",$B$147,IF($D88="Deferred, eyeing 2027",$B$148,$B$146)))</f>
        <v>0.8</v>
      </c>
      <c r="P88" s="34">
        <f>IF($E88=0,"",($F88/MAX($F$6:$F$138))^0.38*100*$N88*$O88)</f>
        <v>15.779408703374495</v>
      </c>
      <c r="Q88" s="48" t="str">
        <f>IF($E88=0,"","P"&amp;MIN(4,ROUNDUP(RANK($P88,$P$6:$P$138)/COUNT($P$6:$P$138)*4,0)))</f>
        <v>P2</v>
      </c>
      <c r="R88" s="3" t="str">
        <f>IF($D88="On Nov 2026 ballot","Wave 1 - position before the vote",IF($D88="Deferred, eyeing 2027","Wave 3 - 2027 referendum cycle",IF($D88="Levying since 2020-23","Wave 2 - next phase / displace incumbent","Wave 1 - VERIFY referendum status first")))</f>
        <v>Wave 1 - VERIFY referendum status first</v>
      </c>
      <c r="S88" s="3" t="str">
        <f>IF($L88="Retrofit + state stack","SCAP application support + no-cost condition assessment",IF($L88="Retrofit / ESPC","No-cost facility condition assessment",IF($L88="New build / PPEA","PPEA concept + capital sequencing review",IF($L88="Blended programme","Capital programme structuring review","Targeted HVAC and roof scope review"))))</f>
        <v>No-cost facility condition assessment</v>
      </c>
      <c r="T88" s="49"/>
      <c r="U88" s="49"/>
    </row>
    <row r="89" spans="1:21">
      <c r="A89" s="50" t="str">
        <f>'Opportunity Model'!A89</f>
        <v>Southampton County</v>
      </c>
      <c r="B89" s="50" t="str">
        <f>'Opportunity Model'!B89</f>
        <v>County</v>
      </c>
      <c r="C89" s="51" t="s">
        <v>345</v>
      </c>
      <c r="D89" s="50" t="str">
        <f>'Opportunity Model'!D89</f>
        <v>No public action found</v>
      </c>
      <c r="E89" s="50">
        <f>'Opportunity Model'!E89</f>
        <v>1</v>
      </c>
      <c r="F89" s="52">
        <f>'Opportunity Model'!G89</f>
        <v>38900015.950979069</v>
      </c>
      <c r="G89" s="52">
        <f>'Opportunity Model'!F89</f>
        <v>1332421.5503875818</v>
      </c>
      <c r="H89" s="53">
        <f>'Region Needs Profile'!B7</f>
        <v>1.43E-2</v>
      </c>
      <c r="I89" s="54">
        <f>'Region Needs Profile'!C7</f>
        <v>50</v>
      </c>
      <c r="J89" s="55">
        <f>'Region Needs Profile'!P7</f>
        <v>-8.3941601847190412</v>
      </c>
      <c r="K89" s="51" t="str">
        <f>IF($F89&gt;=PERCENTILE($F$6:$F$138,0.75),"High",IF($F89&gt;=PERCENTILE($F$6:$F$138,0.4),"Moderate","Low"))</f>
        <v>Low</v>
      </c>
      <c r="L89" s="51" t="str">
        <f>IF($J89&gt;=40,"New build / PPEA",IF($J89&lt;=-40,IF($K89="Low","Retrofit + state stack","Retrofit / ESPC"),IF($K89="High","Blended programme","Selective retrofit")))</f>
        <v>Selective retrofit</v>
      </c>
      <c r="M89" s="51" t="str">
        <f>IF($L89="New build / PPEA","Levy-backed debt + PPEA availability payment + SCAP 10%",IF($L89="Retrofit + state stack","SCAP 20-30% + Literary Fund + levy + guaranteed savings",IF($L89="Retrofit / ESPC","Levy + guaranteed savings + VPSA pooled bond",IF($L89="Blended programme","Levy-backed debt + ESPC on the retained estate","SCAP + Literary Fund + guaranteed savings"))))</f>
        <v>SCAP + Literary Fund + guaranteed savings</v>
      </c>
      <c r="N89" s="35">
        <f>IF(OR($L89="Retrofit / ESPC",$L89="Retrofit + state stack"),$B$142,IF($L89="New build / PPEA",$B$144,$B$143))</f>
        <v>0.7</v>
      </c>
      <c r="O89" s="35">
        <f>IF($D89="On Nov 2026 ballot",$B$145,IF($D89="Levying since 2020-23",$B$147,IF($D89="Deferred, eyeing 2027",$B$148,$B$146)))</f>
        <v>0.8</v>
      </c>
      <c r="P89" s="34">
        <f>IF($E89=0,"",($F89/MAX($F$6:$F$138))^0.38*100*$N89*$O89)</f>
        <v>7.4502025989465013</v>
      </c>
      <c r="Q89" s="48" t="str">
        <f>IF($E89=0,"","P"&amp;MIN(4,ROUNDUP(RANK($P89,$P$6:$P$138)/COUNT($P$6:$P$138)*4,0)))</f>
        <v>P4</v>
      </c>
      <c r="R89" s="3" t="str">
        <f>IF($D89="On Nov 2026 ballot","Wave 1 - position before the vote",IF($D89="Deferred, eyeing 2027","Wave 3 - 2027 referendum cycle",IF($D89="Levying since 2020-23","Wave 2 - next phase / displace incumbent","Wave 1 - VERIFY referendum status first")))</f>
        <v>Wave 1 - VERIFY referendum status first</v>
      </c>
      <c r="S89" s="3" t="str">
        <f>IF($L89="Retrofit + state stack","SCAP application support + no-cost condition assessment",IF($L89="Retrofit / ESPC","No-cost facility condition assessment",IF($L89="New build / PPEA","PPEA concept + capital sequencing review",IF($L89="Blended programme","Capital programme structuring review","Targeted HVAC and roof scope review"))))</f>
        <v>Targeted HVAC and roof scope review</v>
      </c>
      <c r="T89" s="49"/>
      <c r="U89" s="49"/>
    </row>
    <row r="90" spans="1:21">
      <c r="A90" s="22" t="str">
        <f>'Opportunity Model'!A90</f>
        <v>Spotsylvania County</v>
      </c>
      <c r="B90" s="22" t="str">
        <f>'Opportunity Model'!B90</f>
        <v>County</v>
      </c>
      <c r="C90" s="3" t="s">
        <v>346</v>
      </c>
      <c r="D90" s="22" t="str">
        <f>'Opportunity Model'!D90</f>
        <v>No public action found</v>
      </c>
      <c r="E90" s="22">
        <f>'Opportunity Model'!E90</f>
        <v>1</v>
      </c>
      <c r="F90" s="23">
        <f>'Opportunity Model'!G90</f>
        <v>1098518959.5116267</v>
      </c>
      <c r="G90" s="23">
        <f>'Opportunity Model'!F90</f>
        <v>34171017.43438755</v>
      </c>
      <c r="H90" s="45">
        <f>'Region Needs Profile'!B8</f>
        <v>0.1108</v>
      </c>
      <c r="I90" s="46">
        <f>'Region Needs Profile'!C8</f>
        <v>32</v>
      </c>
      <c r="J90" s="47">
        <f>'Region Needs Profile'!P8</f>
        <v>86.269915651358943</v>
      </c>
      <c r="K90" s="3" t="str">
        <f>IF($F90&gt;=PERCENTILE($F$6:$F$138,0.75),"High",IF($F90&gt;=PERCENTILE($F$6:$F$138,0.4),"Moderate","Low"))</f>
        <v>High</v>
      </c>
      <c r="L90" s="3" t="str">
        <f>IF($J90&gt;=40,"New build / PPEA",IF($J90&lt;=-40,IF($K90="Low","Retrofit + state stack","Retrofit / ESPC"),IF($K90="High","Blended programme","Selective retrofit")))</f>
        <v>New build / PPEA</v>
      </c>
      <c r="M90" s="3" t="str">
        <f>IF($L90="New build / PPEA","Levy-backed debt + PPEA availability payment + SCAP 10%",IF($L90="Retrofit + state stack","SCAP 20-30% + Literary Fund + levy + guaranteed savings",IF($L90="Retrofit / ESPC","Levy + guaranteed savings + VPSA pooled bond",IF($L90="Blended programme","Levy-backed debt + ESPC on the retained estate","SCAP + Literary Fund + guaranteed savings"))))</f>
        <v>Levy-backed debt + PPEA availability payment + SCAP 10%</v>
      </c>
      <c r="N90" s="35">
        <f>IF(OR($L90="Retrofit / ESPC",$L90="Retrofit + state stack"),$B$142,IF($L90="New build / PPEA",$B$144,$B$143))</f>
        <v>0.45</v>
      </c>
      <c r="O90" s="35">
        <f>IF($D90="On Nov 2026 ballot",$B$145,IF($D90="Levying since 2020-23",$B$147,IF($D90="Deferred, eyeing 2027",$B$148,$B$146)))</f>
        <v>0.8</v>
      </c>
      <c r="P90" s="34">
        <f>IF($E90=0,"",($F90/MAX($F$6:$F$138))^0.38*100*$N90*$O90)</f>
        <v>17.045451613521422</v>
      </c>
      <c r="Q90" s="48" t="str">
        <f>IF($E90=0,"","P"&amp;MIN(4,ROUNDUP(RANK($P90,$P$6:$P$138)/COUNT($P$6:$P$138)*4,0)))</f>
        <v>P2</v>
      </c>
      <c r="R90" s="3" t="str">
        <f>IF($D90="On Nov 2026 ballot","Wave 1 - position before the vote",IF($D90="Deferred, eyeing 2027","Wave 3 - 2027 referendum cycle",IF($D90="Levying since 2020-23","Wave 2 - next phase / displace incumbent","Wave 1 - VERIFY referendum status first")))</f>
        <v>Wave 1 - VERIFY referendum status first</v>
      </c>
      <c r="S90" s="3" t="str">
        <f>IF($L90="Retrofit + state stack","SCAP application support + no-cost condition assessment",IF($L90="Retrofit / ESPC","No-cost facility condition assessment",IF($L90="New build / PPEA","PPEA concept + capital sequencing review",IF($L90="Blended programme","Capital programme structuring review","Targeted HVAC and roof scope review"))))</f>
        <v>PPEA concept + capital sequencing review</v>
      </c>
      <c r="T90" s="49"/>
      <c r="U90" s="49"/>
    </row>
    <row r="91" spans="1:21">
      <c r="A91" s="50" t="str">
        <f>'Opportunity Model'!A91</f>
        <v>Stafford County</v>
      </c>
      <c r="B91" s="50" t="str">
        <f>'Opportunity Model'!B91</f>
        <v>County</v>
      </c>
      <c r="C91" s="51" t="s">
        <v>346</v>
      </c>
      <c r="D91" s="50" t="str">
        <f>'Opportunity Model'!D91</f>
        <v>No public action found</v>
      </c>
      <c r="E91" s="50">
        <f>'Opportunity Model'!E91</f>
        <v>1</v>
      </c>
      <c r="F91" s="52">
        <f>'Opportunity Model'!G91</f>
        <v>858184413.97442961</v>
      </c>
      <c r="G91" s="52">
        <f>'Opportunity Model'!F91</f>
        <v>26566027.140462328</v>
      </c>
      <c r="H91" s="53">
        <f>'Region Needs Profile'!B8</f>
        <v>0.1108</v>
      </c>
      <c r="I91" s="54">
        <f>'Region Needs Profile'!C8</f>
        <v>32</v>
      </c>
      <c r="J91" s="55">
        <f>'Region Needs Profile'!P8</f>
        <v>86.269915651358943</v>
      </c>
      <c r="K91" s="51" t="str">
        <f>IF($F91&gt;=PERCENTILE($F$6:$F$138,0.75),"High",IF($F91&gt;=PERCENTILE($F$6:$F$138,0.4),"Moderate","Low"))</f>
        <v>High</v>
      </c>
      <c r="L91" s="51" t="str">
        <f>IF($J91&gt;=40,"New build / PPEA",IF($J91&lt;=-40,IF($K91="Low","Retrofit + state stack","Retrofit / ESPC"),IF($K91="High","Blended programme","Selective retrofit")))</f>
        <v>New build / PPEA</v>
      </c>
      <c r="M91" s="51" t="str">
        <f>IF($L91="New build / PPEA","Levy-backed debt + PPEA availability payment + SCAP 10%",IF($L91="Retrofit + state stack","SCAP 20-30% + Literary Fund + levy + guaranteed savings",IF($L91="Retrofit / ESPC","Levy + guaranteed savings + VPSA pooled bond",IF($L91="Blended programme","Levy-backed debt + ESPC on the retained estate","SCAP + Literary Fund + guaranteed savings"))))</f>
        <v>Levy-backed debt + PPEA availability payment + SCAP 10%</v>
      </c>
      <c r="N91" s="35">
        <f>IF(OR($L91="Retrofit / ESPC",$L91="Retrofit + state stack"),$B$142,IF($L91="New build / PPEA",$B$144,$B$143))</f>
        <v>0.45</v>
      </c>
      <c r="O91" s="35">
        <f>IF($D91="On Nov 2026 ballot",$B$145,IF($D91="Levying since 2020-23",$B$147,IF($D91="Deferred, eyeing 2027",$B$148,$B$146)))</f>
        <v>0.8</v>
      </c>
      <c r="P91" s="34">
        <f>IF($E91=0,"",($F91/MAX($F$6:$F$138))^0.38*100*$N91*$O91)</f>
        <v>15.518947975776792</v>
      </c>
      <c r="Q91" s="48" t="str">
        <f>IF($E91=0,"","P"&amp;MIN(4,ROUNDUP(RANK($P91,$P$6:$P$138)/COUNT($P$6:$P$138)*4,0)))</f>
        <v>P2</v>
      </c>
      <c r="R91" s="3" t="str">
        <f>IF($D91="On Nov 2026 ballot","Wave 1 - position before the vote",IF($D91="Deferred, eyeing 2027","Wave 3 - 2027 referendum cycle",IF($D91="Levying since 2020-23","Wave 2 - next phase / displace incumbent","Wave 1 - VERIFY referendum status first")))</f>
        <v>Wave 1 - VERIFY referendum status first</v>
      </c>
      <c r="S91" s="3" t="str">
        <f>IF($L91="Retrofit + state stack","SCAP application support + no-cost condition assessment",IF($L91="Retrofit / ESPC","No-cost facility condition assessment",IF($L91="New build / PPEA","PPEA concept + capital sequencing review",IF($L91="Blended programme","Capital programme structuring review","Targeted HVAC and roof scope review"))))</f>
        <v>PPEA concept + capital sequencing review</v>
      </c>
      <c r="T91" s="49"/>
      <c r="U91" s="49"/>
    </row>
    <row r="92" spans="1:21">
      <c r="A92" s="22" t="str">
        <f>'Opportunity Model'!A92</f>
        <v>Surry County</v>
      </c>
      <c r="B92" s="22" t="str">
        <f>'Opportunity Model'!B92</f>
        <v>County</v>
      </c>
      <c r="C92" s="3" t="s">
        <v>351</v>
      </c>
      <c r="D92" s="22" t="str">
        <f>'Opportunity Model'!D92</f>
        <v>No public action found</v>
      </c>
      <c r="E92" s="22">
        <f>'Opportunity Model'!E92</f>
        <v>1</v>
      </c>
      <c r="F92" s="23">
        <f>'Opportunity Model'!G92</f>
        <v>99658158.020751432</v>
      </c>
      <c r="G92" s="23">
        <f>'Opportunity Model'!F92</f>
        <v>2351970.9504000004</v>
      </c>
      <c r="H92" s="45">
        <f>'Region Needs Profile'!B13</f>
        <v>-7.3999999999999996E-2</v>
      </c>
      <c r="I92" s="46">
        <f>'Region Needs Profile'!C13</f>
        <v>58</v>
      </c>
      <c r="J92" s="47">
        <f>'Region Needs Profile'!P13</f>
        <v>-87.624466571835001</v>
      </c>
      <c r="K92" s="3" t="str">
        <f>IF($F92&gt;=PERCENTILE($F$6:$F$138,0.75),"High",IF($F92&gt;=PERCENTILE($F$6:$F$138,0.4),"Moderate","Low"))</f>
        <v>Low</v>
      </c>
      <c r="L92" s="3" t="str">
        <f>IF($J92&gt;=40,"New build / PPEA",IF($J92&lt;=-40,IF($K92="Low","Retrofit + state stack","Retrofit / ESPC"),IF($K92="High","Blended programme","Selective retrofit")))</f>
        <v>Retrofit + state stack</v>
      </c>
      <c r="M92" s="3" t="str">
        <f>IF($L92="New build / PPEA","Levy-backed debt + PPEA availability payment + SCAP 10%",IF($L92="Retrofit + state stack","SCAP 20-30% + Literary Fund + levy + guaranteed savings",IF($L92="Retrofit / ESPC","Levy + guaranteed savings + VPSA pooled bond",IF($L92="Blended programme","Levy-backed debt + ESPC on the retained estate","SCAP + Literary Fund + guaranteed savings"))))</f>
        <v>SCAP 20-30% + Literary Fund + levy + guaranteed savings</v>
      </c>
      <c r="N92" s="35">
        <f>IF(OR($L92="Retrofit / ESPC",$L92="Retrofit + state stack"),$B$142,IF($L92="New build / PPEA",$B$144,$B$143))</f>
        <v>1</v>
      </c>
      <c r="O92" s="35">
        <f>IF($D92="On Nov 2026 ballot",$B$145,IF($D92="Levying since 2020-23",$B$147,IF($D92="Deferred, eyeing 2027",$B$148,$B$146)))</f>
        <v>0.8</v>
      </c>
      <c r="P92" s="34">
        <f>IF($E92=0,"",($F92/MAX($F$6:$F$138))^0.38*100*$N92*$O92)</f>
        <v>15.216823807546115</v>
      </c>
      <c r="Q92" s="48" t="str">
        <f>IF($E92=0,"","P"&amp;MIN(4,ROUNDUP(RANK($P92,$P$6:$P$138)/COUNT($P$6:$P$138)*4,0)))</f>
        <v>P2</v>
      </c>
      <c r="R92" s="3" t="str">
        <f>IF($D92="On Nov 2026 ballot","Wave 1 - position before the vote",IF($D92="Deferred, eyeing 2027","Wave 3 - 2027 referendum cycle",IF($D92="Levying since 2020-23","Wave 2 - next phase / displace incumbent","Wave 1 - VERIFY referendum status first")))</f>
        <v>Wave 1 - VERIFY referendum status first</v>
      </c>
      <c r="S92" s="3" t="str">
        <f>IF($L92="Retrofit + state stack","SCAP application support + no-cost condition assessment",IF($L92="Retrofit / ESPC","No-cost facility condition assessment",IF($L92="New build / PPEA","PPEA concept + capital sequencing review",IF($L92="Blended programme","Capital programme structuring review","Targeted HVAC and roof scope review"))))</f>
        <v>SCAP application support + no-cost condition assessment</v>
      </c>
      <c r="T92" s="49"/>
      <c r="U92" s="49"/>
    </row>
    <row r="93" spans="1:21">
      <c r="A93" s="50" t="str">
        <f>'Opportunity Model'!A93</f>
        <v>Sussex County</v>
      </c>
      <c r="B93" s="50" t="str">
        <f>'Opportunity Model'!B93</f>
        <v>County</v>
      </c>
      <c r="C93" s="51" t="s">
        <v>351</v>
      </c>
      <c r="D93" s="50" t="str">
        <f>'Opportunity Model'!D93</f>
        <v>On Nov 2026 ballot</v>
      </c>
      <c r="E93" s="50">
        <f>'Opportunity Model'!E93</f>
        <v>1</v>
      </c>
      <c r="F93" s="52">
        <f>'Opportunity Model'!G93</f>
        <v>47703456.931386687</v>
      </c>
      <c r="G93" s="52">
        <f>'Opportunity Model'!F93</f>
        <v>1709015.1215460249</v>
      </c>
      <c r="H93" s="53">
        <f>'Region Needs Profile'!B13</f>
        <v>-7.3999999999999996E-2</v>
      </c>
      <c r="I93" s="54">
        <f>'Region Needs Profile'!C13</f>
        <v>58</v>
      </c>
      <c r="J93" s="55">
        <f>'Region Needs Profile'!P13</f>
        <v>-87.624466571835001</v>
      </c>
      <c r="K93" s="51" t="str">
        <f>IF($F93&gt;=PERCENTILE($F$6:$F$138,0.75),"High",IF($F93&gt;=PERCENTILE($F$6:$F$138,0.4),"Moderate","Low"))</f>
        <v>Low</v>
      </c>
      <c r="L93" s="51" t="str">
        <f>IF($J93&gt;=40,"New build / PPEA",IF($J93&lt;=-40,IF($K93="Low","Retrofit + state stack","Retrofit / ESPC"),IF($K93="High","Blended programme","Selective retrofit")))</f>
        <v>Retrofit + state stack</v>
      </c>
      <c r="M93" s="51" t="str">
        <f>IF($L93="New build / PPEA","Levy-backed debt + PPEA availability payment + SCAP 10%",IF($L93="Retrofit + state stack","SCAP 20-30% + Literary Fund + levy + guaranteed savings",IF($L93="Retrofit / ESPC","Levy + guaranteed savings + VPSA pooled bond",IF($L93="Blended programme","Levy-backed debt + ESPC on the retained estate","SCAP + Literary Fund + guaranteed savings"))))</f>
        <v>SCAP 20-30% + Literary Fund + levy + guaranteed savings</v>
      </c>
      <c r="N93" s="35">
        <f>IF(OR($L93="Retrofit / ESPC",$L93="Retrofit + state stack"),$B$142,IF($L93="New build / PPEA",$B$144,$B$143))</f>
        <v>1</v>
      </c>
      <c r="O93" s="35">
        <f>IF($D93="On Nov 2026 ballot",$B$145,IF($D93="Levying since 2020-23",$B$147,IF($D93="Deferred, eyeing 2027",$B$148,$B$146)))</f>
        <v>1</v>
      </c>
      <c r="P93" s="34">
        <f>IF($E93=0,"",($F93/MAX($F$6:$F$138))^0.38*100*$N93*$O93)</f>
        <v>14.376331671423026</v>
      </c>
      <c r="Q93" s="48" t="str">
        <f>IF($E93=0,"","P"&amp;MIN(4,ROUNDUP(RANK($P93,$P$6:$P$138)/COUNT($P$6:$P$138)*4,0)))</f>
        <v>P2</v>
      </c>
      <c r="R93" s="3" t="str">
        <f>IF($D93="On Nov 2026 ballot","Wave 1 - position before the vote",IF($D93="Deferred, eyeing 2027","Wave 3 - 2027 referendum cycle",IF($D93="Levying since 2020-23","Wave 2 - next phase / displace incumbent","Wave 1 - VERIFY referendum status first")))</f>
        <v>Wave 1 - position before the vote</v>
      </c>
      <c r="S93" s="3" t="str">
        <f>IF($L93="Retrofit + state stack","SCAP application support + no-cost condition assessment",IF($L93="Retrofit / ESPC","No-cost facility condition assessment",IF($L93="New build / PPEA","PPEA concept + capital sequencing review",IF($L93="Blended programme","Capital programme structuring review","Targeted HVAC and roof scope review"))))</f>
        <v>SCAP application support + no-cost condition assessment</v>
      </c>
      <c r="T93" s="49"/>
      <c r="U93" s="49"/>
    </row>
    <row r="94" spans="1:21">
      <c r="A94" s="22" t="str">
        <f>'Opportunity Model'!A94</f>
        <v>Tazewell County</v>
      </c>
      <c r="B94" s="22" t="str">
        <f>'Opportunity Model'!B94</f>
        <v>County</v>
      </c>
      <c r="C94" s="3" t="s">
        <v>350</v>
      </c>
      <c r="D94" s="22" t="str">
        <f>'Opportunity Model'!D94</f>
        <v>No public action found</v>
      </c>
      <c r="E94" s="22">
        <f>'Opportunity Model'!E94</f>
        <v>1</v>
      </c>
      <c r="F94" s="23">
        <f>'Opportunity Model'!G94</f>
        <v>240351753.12741145</v>
      </c>
      <c r="G94" s="23">
        <f>'Opportunity Model'!F94</f>
        <v>8661299.8608621415</v>
      </c>
      <c r="H94" s="45">
        <f>'Region Needs Profile'!B12</f>
        <v>-0.10009999999999999</v>
      </c>
      <c r="I94" s="46">
        <f>'Region Needs Profile'!C12</f>
        <v>58</v>
      </c>
      <c r="J94" s="47">
        <f>'Region Needs Profile'!P12</f>
        <v>-93.064667291471423</v>
      </c>
      <c r="K94" s="3" t="str">
        <f>IF($F94&gt;=PERCENTILE($F$6:$F$138,0.75),"High",IF($F94&gt;=PERCENTILE($F$6:$F$138,0.4),"Moderate","Low"))</f>
        <v>Moderate</v>
      </c>
      <c r="L94" s="3" t="str">
        <f>IF($J94&gt;=40,"New build / PPEA",IF($J94&lt;=-40,IF($K94="Low","Retrofit + state stack","Retrofit / ESPC"),IF($K94="High","Blended programme","Selective retrofit")))</f>
        <v>Retrofit / ESPC</v>
      </c>
      <c r="M94" s="3" t="str">
        <f>IF($L94="New build / PPEA","Levy-backed debt + PPEA availability payment + SCAP 10%",IF($L94="Retrofit + state stack","SCAP 20-30% + Literary Fund + levy + guaranteed savings",IF($L94="Retrofit / ESPC","Levy + guaranteed savings + VPSA pooled bond",IF($L94="Blended programme","Levy-backed debt + ESPC on the retained estate","SCAP + Literary Fund + guaranteed savings"))))</f>
        <v>Levy + guaranteed savings + VPSA pooled bond</v>
      </c>
      <c r="N94" s="35">
        <f>IF(OR($L94="Retrofit / ESPC",$L94="Retrofit + state stack"),$B$142,IF($L94="New build / PPEA",$B$144,$B$143))</f>
        <v>1</v>
      </c>
      <c r="O94" s="35">
        <f>IF($D94="On Nov 2026 ballot",$B$145,IF($D94="Levying since 2020-23",$B$147,IF($D94="Deferred, eyeing 2027",$B$148,$B$146)))</f>
        <v>0.8</v>
      </c>
      <c r="P94" s="34">
        <f>IF($E94=0,"",($F94/MAX($F$6:$F$138))^0.38*100*$N94*$O94)</f>
        <v>21.262341961812108</v>
      </c>
      <c r="Q94" s="48" t="str">
        <f>IF($E94=0,"","P"&amp;MIN(4,ROUNDUP(RANK($P94,$P$6:$P$138)/COUNT($P$6:$P$138)*4,0)))</f>
        <v>P1</v>
      </c>
      <c r="R94" s="3" t="str">
        <f>IF($D94="On Nov 2026 ballot","Wave 1 - position before the vote",IF($D94="Deferred, eyeing 2027","Wave 3 - 2027 referendum cycle",IF($D94="Levying since 2020-23","Wave 2 - next phase / displace incumbent","Wave 1 - VERIFY referendum status first")))</f>
        <v>Wave 1 - VERIFY referendum status first</v>
      </c>
      <c r="S94" s="3" t="str">
        <f>IF($L94="Retrofit + state stack","SCAP application support + no-cost condition assessment",IF($L94="Retrofit / ESPC","No-cost facility condition assessment",IF($L94="New build / PPEA","PPEA concept + capital sequencing review",IF($L94="Blended programme","Capital programme structuring review","Targeted HVAC and roof scope review"))))</f>
        <v>No-cost facility condition assessment</v>
      </c>
      <c r="T94" s="49"/>
      <c r="U94" s="49"/>
    </row>
    <row r="95" spans="1:21">
      <c r="A95" s="50" t="str">
        <f>'Opportunity Model'!A95</f>
        <v>Warren County</v>
      </c>
      <c r="B95" s="50" t="str">
        <f>'Opportunity Model'!B95</f>
        <v>County</v>
      </c>
      <c r="C95" s="51" t="s">
        <v>347</v>
      </c>
      <c r="D95" s="50" t="str">
        <f>'Opportunity Model'!D95</f>
        <v>No public action found</v>
      </c>
      <c r="E95" s="50">
        <f>'Opportunity Model'!E95</f>
        <v>1</v>
      </c>
      <c r="F95" s="52">
        <f>'Opportunity Model'!G95</f>
        <v>260050250.59454238</v>
      </c>
      <c r="G95" s="52">
        <f>'Opportunity Model'!F95</f>
        <v>8433187.3399310987</v>
      </c>
      <c r="H95" s="53">
        <f>'Region Needs Profile'!B9</f>
        <v>7.9399999999999998E-2</v>
      </c>
      <c r="I95" s="54">
        <f>'Region Needs Profile'!C9</f>
        <v>48</v>
      </c>
      <c r="J95" s="55">
        <f>'Region Needs Profile'!P9</f>
        <v>54.342196447459614</v>
      </c>
      <c r="K95" s="51" t="str">
        <f>IF($F95&gt;=PERCENTILE($F$6:$F$138,0.75),"High",IF($F95&gt;=PERCENTILE($F$6:$F$138,0.4),"Moderate","Low"))</f>
        <v>Moderate</v>
      </c>
      <c r="L95" s="51" t="str">
        <f>IF($J95&gt;=40,"New build / PPEA",IF($J95&lt;=-40,IF($K95="Low","Retrofit + state stack","Retrofit / ESPC"),IF($K95="High","Blended programme","Selective retrofit")))</f>
        <v>New build / PPEA</v>
      </c>
      <c r="M95" s="51" t="str">
        <f>IF($L95="New build / PPEA","Levy-backed debt + PPEA availability payment + SCAP 10%",IF($L95="Retrofit + state stack","SCAP 20-30% + Literary Fund + levy + guaranteed savings",IF($L95="Retrofit / ESPC","Levy + guaranteed savings + VPSA pooled bond",IF($L95="Blended programme","Levy-backed debt + ESPC on the retained estate","SCAP + Literary Fund + guaranteed savings"))))</f>
        <v>Levy-backed debt + PPEA availability payment + SCAP 10%</v>
      </c>
      <c r="N95" s="35">
        <f>IF(OR($L95="Retrofit / ESPC",$L95="Retrofit + state stack"),$B$142,IF($L95="New build / PPEA",$B$144,$B$143))</f>
        <v>0.45</v>
      </c>
      <c r="O95" s="35">
        <f>IF($D95="On Nov 2026 ballot",$B$145,IF($D95="Levying since 2020-23",$B$147,IF($D95="Deferred, eyeing 2027",$B$148,$B$146)))</f>
        <v>0.8</v>
      </c>
      <c r="P95" s="34">
        <f>IF($E95=0,"",($F95/MAX($F$6:$F$138))^0.38*100*$N95*$O95)</f>
        <v>9.8587852284497508</v>
      </c>
      <c r="Q95" s="48" t="str">
        <f>IF($E95=0,"","P"&amp;MIN(4,ROUNDUP(RANK($P95,$P$6:$P$138)/COUNT($P$6:$P$138)*4,0)))</f>
        <v>P3</v>
      </c>
      <c r="R95" s="3" t="str">
        <f>IF($D95="On Nov 2026 ballot","Wave 1 - position before the vote",IF($D95="Deferred, eyeing 2027","Wave 3 - 2027 referendum cycle",IF($D95="Levying since 2020-23","Wave 2 - next phase / displace incumbent","Wave 1 - VERIFY referendum status first")))</f>
        <v>Wave 1 - VERIFY referendum status first</v>
      </c>
      <c r="S95" s="3" t="str">
        <f>IF($L95="Retrofit + state stack","SCAP application support + no-cost condition assessment",IF($L95="Retrofit / ESPC","No-cost facility condition assessment",IF($L95="New build / PPEA","PPEA concept + capital sequencing review",IF($L95="Blended programme","Capital programme structuring review","Targeted HVAC and roof scope review"))))</f>
        <v>PPEA concept + capital sequencing review</v>
      </c>
      <c r="T95" s="49"/>
      <c r="U95" s="49"/>
    </row>
    <row r="96" spans="1:21">
      <c r="A96" s="22" t="str">
        <f>'Opportunity Model'!A96</f>
        <v>Washington County</v>
      </c>
      <c r="B96" s="22" t="str">
        <f>'Opportunity Model'!B96</f>
        <v>County</v>
      </c>
      <c r="C96" s="3" t="s">
        <v>350</v>
      </c>
      <c r="D96" s="22" t="str">
        <f>'Opportunity Model'!D96</f>
        <v>Deferred, eyeing 2027</v>
      </c>
      <c r="E96" s="22">
        <f>'Opportunity Model'!E96</f>
        <v>1</v>
      </c>
      <c r="F96" s="23">
        <f>'Opportunity Model'!G96</f>
        <v>386761279.97773397</v>
      </c>
      <c r="G96" s="23">
        <f>'Opportunity Model'!F96</f>
        <v>12766927.924599864</v>
      </c>
      <c r="H96" s="45">
        <f>'Region Needs Profile'!B12</f>
        <v>-0.10009999999999999</v>
      </c>
      <c r="I96" s="46">
        <f>'Region Needs Profile'!C12</f>
        <v>58</v>
      </c>
      <c r="J96" s="47">
        <f>'Region Needs Profile'!P12</f>
        <v>-93.064667291471423</v>
      </c>
      <c r="K96" s="3" t="str">
        <f>IF($F96&gt;=PERCENTILE($F$6:$F$138,0.75),"High",IF($F96&gt;=PERCENTILE($F$6:$F$138,0.4),"Moderate","Low"))</f>
        <v>Moderate</v>
      </c>
      <c r="L96" s="3" t="str">
        <f>IF($J96&gt;=40,"New build / PPEA",IF($J96&lt;=-40,IF($K96="Low","Retrofit + state stack","Retrofit / ESPC"),IF($K96="High","Blended programme","Selective retrofit")))</f>
        <v>Retrofit / ESPC</v>
      </c>
      <c r="M96" s="3" t="str">
        <f>IF($L96="New build / PPEA","Levy-backed debt + PPEA availability payment + SCAP 10%",IF($L96="Retrofit + state stack","SCAP 20-30% + Literary Fund + levy + guaranteed savings",IF($L96="Retrofit / ESPC","Levy + guaranteed savings + VPSA pooled bond",IF($L96="Blended programme","Levy-backed debt + ESPC on the retained estate","SCAP + Literary Fund + guaranteed savings"))))</f>
        <v>Levy + guaranteed savings + VPSA pooled bond</v>
      </c>
      <c r="N96" s="35">
        <f>IF(OR($L96="Retrofit / ESPC",$L96="Retrofit + state stack"),$B$142,IF($L96="New build / PPEA",$B$144,$B$143))</f>
        <v>1</v>
      </c>
      <c r="O96" s="35">
        <f>IF($D96="On Nov 2026 ballot",$B$145,IF($D96="Levying since 2020-23",$B$147,IF($D96="Deferred, eyeing 2027",$B$148,$B$146)))</f>
        <v>0.55000000000000004</v>
      </c>
      <c r="P96" s="34">
        <f>IF($E96=0,"",($F96/MAX($F$6:$F$138))^0.38*100*$N96*$O96)</f>
        <v>17.514194367759046</v>
      </c>
      <c r="Q96" s="48" t="str">
        <f>IF($E96=0,"","P"&amp;MIN(4,ROUNDUP(RANK($P96,$P$6:$P$138)/COUNT($P$6:$P$138)*4,0)))</f>
        <v>P2</v>
      </c>
      <c r="R96" s="3" t="str">
        <f>IF($D96="On Nov 2026 ballot","Wave 1 - position before the vote",IF($D96="Deferred, eyeing 2027","Wave 3 - 2027 referendum cycle",IF($D96="Levying since 2020-23","Wave 2 - next phase / displace incumbent","Wave 1 - VERIFY referendum status first")))</f>
        <v>Wave 3 - 2027 referendum cycle</v>
      </c>
      <c r="S96" s="3" t="str">
        <f>IF($L96="Retrofit + state stack","SCAP application support + no-cost condition assessment",IF($L96="Retrofit / ESPC","No-cost facility condition assessment",IF($L96="New build / PPEA","PPEA concept + capital sequencing review",IF($L96="Blended programme","Capital programme structuring review","Targeted HVAC and roof scope review"))))</f>
        <v>No-cost facility condition assessment</v>
      </c>
      <c r="T96" s="49"/>
      <c r="U96" s="49"/>
    </row>
    <row r="97" spans="1:21">
      <c r="A97" s="50" t="str">
        <f>'Opportunity Model'!A97</f>
        <v>Westmoreland County</v>
      </c>
      <c r="B97" s="50" t="str">
        <f>'Opportunity Model'!B97</f>
        <v>County</v>
      </c>
      <c r="C97" s="51" t="s">
        <v>346</v>
      </c>
      <c r="D97" s="50" t="str">
        <f>'Opportunity Model'!D97</f>
        <v>No public action found</v>
      </c>
      <c r="E97" s="50">
        <f>'Opportunity Model'!E97</f>
        <v>1</v>
      </c>
      <c r="F97" s="52">
        <f>'Opportunity Model'!G97</f>
        <v>73407117.2251973</v>
      </c>
      <c r="G97" s="52">
        <f>'Opportunity Model'!F97</f>
        <v>2305516.6058883495</v>
      </c>
      <c r="H97" s="53">
        <f>'Region Needs Profile'!B8</f>
        <v>0.1108</v>
      </c>
      <c r="I97" s="54">
        <f>'Region Needs Profile'!C8</f>
        <v>32</v>
      </c>
      <c r="J97" s="55">
        <f>'Region Needs Profile'!P8</f>
        <v>86.269915651358943</v>
      </c>
      <c r="K97" s="51" t="str">
        <f>IF($F97&gt;=PERCENTILE($F$6:$F$138,0.75),"High",IF($F97&gt;=PERCENTILE($F$6:$F$138,0.4),"Moderate","Low"))</f>
        <v>Low</v>
      </c>
      <c r="L97" s="51" t="str">
        <f>IF($J97&gt;=40,"New build / PPEA",IF($J97&lt;=-40,IF($K97="Low","Retrofit + state stack","Retrofit / ESPC"),IF($K97="High","Blended programme","Selective retrofit")))</f>
        <v>New build / PPEA</v>
      </c>
      <c r="M97" s="51" t="str">
        <f>IF($L97="New build / PPEA","Levy-backed debt + PPEA availability payment + SCAP 10%",IF($L97="Retrofit + state stack","SCAP 20-30% + Literary Fund + levy + guaranteed savings",IF($L97="Retrofit / ESPC","Levy + guaranteed savings + VPSA pooled bond",IF($L97="Blended programme","Levy-backed debt + ESPC on the retained estate","SCAP + Literary Fund + guaranteed savings"))))</f>
        <v>Levy-backed debt + PPEA availability payment + SCAP 10%</v>
      </c>
      <c r="N97" s="35">
        <f>IF(OR($L97="Retrofit / ESPC",$L97="Retrofit + state stack"),$B$142,IF($L97="New build / PPEA",$B$144,$B$143))</f>
        <v>0.45</v>
      </c>
      <c r="O97" s="35">
        <f>IF($D97="On Nov 2026 ballot",$B$145,IF($D97="Levying since 2020-23",$B$147,IF($D97="Deferred, eyeing 2027",$B$148,$B$146)))</f>
        <v>0.8</v>
      </c>
      <c r="P97" s="34">
        <f>IF($E97=0,"",($F97/MAX($F$6:$F$138))^0.38*100*$N97*$O97)</f>
        <v>6.0965219936316863</v>
      </c>
      <c r="Q97" s="48" t="str">
        <f>IF($E97=0,"","P"&amp;MIN(4,ROUNDUP(RANK($P97,$P$6:$P$138)/COUNT($P$6:$P$138)*4,0)))</f>
        <v>P4</v>
      </c>
      <c r="R97" s="3" t="str">
        <f>IF($D97="On Nov 2026 ballot","Wave 1 - position before the vote",IF($D97="Deferred, eyeing 2027","Wave 3 - 2027 referendum cycle",IF($D97="Levying since 2020-23","Wave 2 - next phase / displace incumbent","Wave 1 - VERIFY referendum status first")))</f>
        <v>Wave 1 - VERIFY referendum status first</v>
      </c>
      <c r="S97" s="3" t="str">
        <f>IF($L97="Retrofit + state stack","SCAP application support + no-cost condition assessment",IF($L97="Retrofit / ESPC","No-cost facility condition assessment",IF($L97="New build / PPEA","PPEA concept + capital sequencing review",IF($L97="Blended programme","Capital programme structuring review","Targeted HVAC and roof scope review"))))</f>
        <v>PPEA concept + capital sequencing review</v>
      </c>
      <c r="T97" s="49"/>
      <c r="U97" s="49"/>
    </row>
    <row r="98" spans="1:21">
      <c r="A98" s="22" t="str">
        <f>'Opportunity Model'!A98</f>
        <v>Wise County</v>
      </c>
      <c r="B98" s="22" t="str">
        <f>'Opportunity Model'!B98</f>
        <v>County</v>
      </c>
      <c r="C98" s="3" t="s">
        <v>350</v>
      </c>
      <c r="D98" s="22" t="str">
        <f>'Opportunity Model'!D98</f>
        <v>Deferred, eyeing 2027</v>
      </c>
      <c r="E98" s="22">
        <f>'Opportunity Model'!E98</f>
        <v>1</v>
      </c>
      <c r="F98" s="23">
        <f>'Opportunity Model'!G98</f>
        <v>121155604.31994361</v>
      </c>
      <c r="G98" s="23">
        <f>'Opportunity Model'!F98</f>
        <v>4598418.0490320772</v>
      </c>
      <c r="H98" s="45">
        <f>'Region Needs Profile'!B12</f>
        <v>-0.10009999999999999</v>
      </c>
      <c r="I98" s="46">
        <f>'Region Needs Profile'!C12</f>
        <v>58</v>
      </c>
      <c r="J98" s="47">
        <f>'Region Needs Profile'!P12</f>
        <v>-93.064667291471423</v>
      </c>
      <c r="K98" s="3" t="str">
        <f>IF($F98&gt;=PERCENTILE($F$6:$F$138,0.75),"High",IF($F98&gt;=PERCENTILE($F$6:$F$138,0.4),"Moderate","Low"))</f>
        <v>Moderate</v>
      </c>
      <c r="L98" s="3" t="str">
        <f>IF($J98&gt;=40,"New build / PPEA",IF($J98&lt;=-40,IF($K98="Low","Retrofit + state stack","Retrofit / ESPC"),IF($K98="High","Blended programme","Selective retrofit")))</f>
        <v>Retrofit / ESPC</v>
      </c>
      <c r="M98" s="3" t="str">
        <f>IF($L98="New build / PPEA","Levy-backed debt + PPEA availability payment + SCAP 10%",IF($L98="Retrofit + state stack","SCAP 20-30% + Literary Fund + levy + guaranteed savings",IF($L98="Retrofit / ESPC","Levy + guaranteed savings + VPSA pooled bond",IF($L98="Blended programme","Levy-backed debt + ESPC on the retained estate","SCAP + Literary Fund + guaranteed savings"))))</f>
        <v>Levy + guaranteed savings + VPSA pooled bond</v>
      </c>
      <c r="N98" s="35">
        <f>IF(OR($L98="Retrofit / ESPC",$L98="Retrofit + state stack"),$B$142,IF($L98="New build / PPEA",$B$144,$B$143))</f>
        <v>1</v>
      </c>
      <c r="O98" s="35">
        <f>IF($D98="On Nov 2026 ballot",$B$145,IF($D98="Levying since 2020-23",$B$147,IF($D98="Deferred, eyeing 2027",$B$148,$B$146)))</f>
        <v>0.55000000000000004</v>
      </c>
      <c r="P98" s="34">
        <f>IF($E98=0,"",($F98/MAX($F$6:$F$138))^0.38*100*$N98*$O98)</f>
        <v>11.26762442176806</v>
      </c>
      <c r="Q98" s="48" t="str">
        <f>IF($E98=0,"","P"&amp;MIN(4,ROUNDUP(RANK($P98,$P$6:$P$138)/COUNT($P$6:$P$138)*4,0)))</f>
        <v>P3</v>
      </c>
      <c r="R98" s="3" t="str">
        <f>IF($D98="On Nov 2026 ballot","Wave 1 - position before the vote",IF($D98="Deferred, eyeing 2027","Wave 3 - 2027 referendum cycle",IF($D98="Levying since 2020-23","Wave 2 - next phase / displace incumbent","Wave 1 - VERIFY referendum status first")))</f>
        <v>Wave 3 - 2027 referendum cycle</v>
      </c>
      <c r="S98" s="3" t="str">
        <f>IF($L98="Retrofit + state stack","SCAP application support + no-cost condition assessment",IF($L98="Retrofit / ESPC","No-cost facility condition assessment",IF($L98="New build / PPEA","PPEA concept + capital sequencing review",IF($L98="Blended programme","Capital programme structuring review","Targeted HVAC and roof scope review"))))</f>
        <v>No-cost facility condition assessment</v>
      </c>
      <c r="T98" s="49"/>
      <c r="U98" s="49"/>
    </row>
    <row r="99" spans="1:21">
      <c r="A99" s="50" t="str">
        <f>'Opportunity Model'!A99</f>
        <v>Wythe County</v>
      </c>
      <c r="B99" s="50" t="str">
        <f>'Opportunity Model'!B99</f>
        <v>County</v>
      </c>
      <c r="C99" s="51" t="s">
        <v>350</v>
      </c>
      <c r="D99" s="50" t="str">
        <f>'Opportunity Model'!D99</f>
        <v>On Nov 2026 ballot</v>
      </c>
      <c r="E99" s="50">
        <f>'Opportunity Model'!E99</f>
        <v>1</v>
      </c>
      <c r="F99" s="52">
        <f>'Opportunity Model'!G99</f>
        <v>220339605.7786797</v>
      </c>
      <c r="G99" s="52">
        <f>'Opportunity Model'!F99</f>
        <v>7432437.4141433621</v>
      </c>
      <c r="H99" s="53">
        <f>'Region Needs Profile'!B12</f>
        <v>-0.10009999999999999</v>
      </c>
      <c r="I99" s="54">
        <f>'Region Needs Profile'!C12</f>
        <v>58</v>
      </c>
      <c r="J99" s="55">
        <f>'Region Needs Profile'!P12</f>
        <v>-93.064667291471423</v>
      </c>
      <c r="K99" s="51" t="str">
        <f>IF($F99&gt;=PERCENTILE($F$6:$F$138,0.75),"High",IF($F99&gt;=PERCENTILE($F$6:$F$138,0.4),"Moderate","Low"))</f>
        <v>Moderate</v>
      </c>
      <c r="L99" s="51" t="str">
        <f>IF($J99&gt;=40,"New build / PPEA",IF($J99&lt;=-40,IF($K99="Low","Retrofit + state stack","Retrofit / ESPC"),IF($K99="High","Blended programme","Selective retrofit")))</f>
        <v>Retrofit / ESPC</v>
      </c>
      <c r="M99" s="51" t="str">
        <f>IF($L99="New build / PPEA","Levy-backed debt + PPEA availability payment + SCAP 10%",IF($L99="Retrofit + state stack","SCAP 20-30% + Literary Fund + levy + guaranteed savings",IF($L99="Retrofit / ESPC","Levy + guaranteed savings + VPSA pooled bond",IF($L99="Blended programme","Levy-backed debt + ESPC on the retained estate","SCAP + Literary Fund + guaranteed savings"))))</f>
        <v>Levy + guaranteed savings + VPSA pooled bond</v>
      </c>
      <c r="N99" s="35">
        <f>IF(OR($L99="Retrofit / ESPC",$L99="Retrofit + state stack"),$B$142,IF($L99="New build / PPEA",$B$144,$B$143))</f>
        <v>1</v>
      </c>
      <c r="O99" s="35">
        <f>IF($D99="On Nov 2026 ballot",$B$145,IF($D99="Levying since 2020-23",$B$147,IF($D99="Deferred, eyeing 2027",$B$148,$B$146)))</f>
        <v>1</v>
      </c>
      <c r="P99" s="34">
        <f>IF($E99=0,"",($F99/MAX($F$6:$F$138))^0.38*100*$N99*$O99)</f>
        <v>25.714276868612668</v>
      </c>
      <c r="Q99" s="48" t="str">
        <f>IF($E99=0,"","P"&amp;MIN(4,ROUNDUP(RANK($P99,$P$6:$P$138)/COUNT($P$6:$P$138)*4,0)))</f>
        <v>P1</v>
      </c>
      <c r="R99" s="3" t="str">
        <f>IF($D99="On Nov 2026 ballot","Wave 1 - position before the vote",IF($D99="Deferred, eyeing 2027","Wave 3 - 2027 referendum cycle",IF($D99="Levying since 2020-23","Wave 2 - next phase / displace incumbent","Wave 1 - VERIFY referendum status first")))</f>
        <v>Wave 1 - position before the vote</v>
      </c>
      <c r="S99" s="3" t="str">
        <f>IF($L99="Retrofit + state stack","SCAP application support + no-cost condition assessment",IF($L99="Retrofit / ESPC","No-cost facility condition assessment",IF($L99="New build / PPEA","PPEA concept + capital sequencing review",IF($L99="Blended programme","Capital programme structuring review","Targeted HVAC and roof scope review"))))</f>
        <v>No-cost facility condition assessment</v>
      </c>
      <c r="T99" s="49"/>
      <c r="U99" s="49"/>
    </row>
    <row r="100" spans="1:21">
      <c r="A100" s="22" t="str">
        <f>'Opportunity Model'!A100</f>
        <v>York County</v>
      </c>
      <c r="B100" s="22" t="str">
        <f>'Opportunity Model'!B100</f>
        <v>County</v>
      </c>
      <c r="C100" s="3" t="s">
        <v>345</v>
      </c>
      <c r="D100" s="22" t="str">
        <f>'Opportunity Model'!D100</f>
        <v>On Nov 2026 ballot</v>
      </c>
      <c r="E100" s="22">
        <f>'Opportunity Model'!E100</f>
        <v>1</v>
      </c>
      <c r="F100" s="23">
        <f>'Opportunity Model'!G100</f>
        <v>470087571.1176039</v>
      </c>
      <c r="G100" s="23">
        <f>'Opportunity Model'!F100</f>
        <v>16138967.744521724</v>
      </c>
      <c r="H100" s="45">
        <f>'Region Needs Profile'!B7</f>
        <v>1.43E-2</v>
      </c>
      <c r="I100" s="46">
        <f>'Region Needs Profile'!C7</f>
        <v>50</v>
      </c>
      <c r="J100" s="47">
        <f>'Region Needs Profile'!P7</f>
        <v>-8.3941601847190412</v>
      </c>
      <c r="K100" s="3" t="str">
        <f>IF($F100&gt;=PERCENTILE($F$6:$F$138,0.75),"High",IF($F100&gt;=PERCENTILE($F$6:$F$138,0.4),"Moderate","Low"))</f>
        <v>High</v>
      </c>
      <c r="L100" s="3" t="str">
        <f>IF($J100&gt;=40,"New build / PPEA",IF($J100&lt;=-40,IF($K100="Low","Retrofit + state stack","Retrofit / ESPC"),IF($K100="High","Blended programme","Selective retrofit")))</f>
        <v>Blended programme</v>
      </c>
      <c r="M100" s="3" t="str">
        <f>IF($L100="New build / PPEA","Levy-backed debt + PPEA availability payment + SCAP 10%",IF($L100="Retrofit + state stack","SCAP 20-30% + Literary Fund + levy + guaranteed savings",IF($L100="Retrofit / ESPC","Levy + guaranteed savings + VPSA pooled bond",IF($L100="Blended programme","Levy-backed debt + ESPC on the retained estate","SCAP + Literary Fund + guaranteed savings"))))</f>
        <v>Levy-backed debt + ESPC on the retained estate</v>
      </c>
      <c r="N100" s="35">
        <f>IF(OR($L100="Retrofit / ESPC",$L100="Retrofit + state stack"),$B$142,IF($L100="New build / PPEA",$B$144,$B$143))</f>
        <v>0.7</v>
      </c>
      <c r="O100" s="35">
        <f>IF($D100="On Nov 2026 ballot",$B$145,IF($D100="Levying since 2020-23",$B$147,IF($D100="Deferred, eyeing 2027",$B$148,$B$146)))</f>
        <v>1</v>
      </c>
      <c r="P100" s="34">
        <f>IF($E100=0,"",($F100/MAX($F$6:$F$138))^0.38*100*$N100*$O100)</f>
        <v>24.006293528875602</v>
      </c>
      <c r="Q100" s="48" t="str">
        <f>IF($E100=0,"","P"&amp;MIN(4,ROUNDUP(RANK($P100,$P$6:$P$138)/COUNT($P$6:$P$138)*4,0)))</f>
        <v>P1</v>
      </c>
      <c r="R100" s="3" t="str">
        <f>IF($D100="On Nov 2026 ballot","Wave 1 - position before the vote",IF($D100="Deferred, eyeing 2027","Wave 3 - 2027 referendum cycle",IF($D100="Levying since 2020-23","Wave 2 - next phase / displace incumbent","Wave 1 - VERIFY referendum status first")))</f>
        <v>Wave 1 - position before the vote</v>
      </c>
      <c r="S100" s="3" t="str">
        <f>IF($L100="Retrofit + state stack","SCAP application support + no-cost condition assessment",IF($L100="Retrofit / ESPC","No-cost facility condition assessment",IF($L100="New build / PPEA","PPEA concept + capital sequencing review",IF($L100="Blended programme","Capital programme structuring review","Targeted HVAC and roof scope review"))))</f>
        <v>Capital programme structuring review</v>
      </c>
      <c r="T100" s="49"/>
      <c r="U100" s="49"/>
    </row>
    <row r="101" spans="1:21">
      <c r="A101" s="50" t="str">
        <f>'Opportunity Model'!A101</f>
        <v>Alexandria City</v>
      </c>
      <c r="B101" s="50" t="str">
        <f>'Opportunity Model'!B101</f>
        <v>City</v>
      </c>
      <c r="C101" s="51" t="s">
        <v>347</v>
      </c>
      <c r="D101" s="50" t="str">
        <f>'Opportunity Model'!D101</f>
        <v>No public action found</v>
      </c>
      <c r="E101" s="50">
        <f>'Opportunity Model'!E101</f>
        <v>0</v>
      </c>
      <c r="F101" s="52">
        <f>'Opportunity Model'!G101</f>
        <v>1352711645.0525768</v>
      </c>
      <c r="G101" s="52">
        <f>'Opportunity Model'!F101</f>
        <v>44609271.907540835</v>
      </c>
      <c r="H101" s="53">
        <f>'Region Needs Profile'!B9</f>
        <v>7.9399999999999998E-2</v>
      </c>
      <c r="I101" s="54">
        <f>'Region Needs Profile'!C9</f>
        <v>48</v>
      </c>
      <c r="J101" s="55">
        <f>'Region Needs Profile'!P9</f>
        <v>54.342196447459614</v>
      </c>
      <c r="K101" s="51" t="str">
        <f>IF($F101&gt;=PERCENTILE($F$6:$F$138,0.75),"High",IF($F101&gt;=PERCENTILE($F$6:$F$138,0.4),"Moderate","Low"))</f>
        <v>High</v>
      </c>
      <c r="L101" s="51" t="str">
        <f>IF($J101&gt;=40,"New build / PPEA",IF($J101&lt;=-40,IF($K101="Low","Retrofit + state stack","Retrofit / ESPC"),IF($K101="High","Blended programme","Selective retrofit")))</f>
        <v>New build / PPEA</v>
      </c>
      <c r="M101" s="51" t="str">
        <f>IF($L101="New build / PPEA","Levy-backed debt + PPEA availability payment + SCAP 10%",IF($L101="Retrofit + state stack","SCAP 20-30% + Literary Fund + levy + guaranteed savings",IF($L101="Retrofit / ESPC","Levy + guaranteed savings + VPSA pooled bond",IF($L101="Blended programme","Levy-backed debt + ESPC on the retained estate","SCAP + Literary Fund + guaranteed savings"))))</f>
        <v>Levy-backed debt + PPEA availability payment + SCAP 10%</v>
      </c>
      <c r="N101" s="35">
        <f>IF(OR($L101="Retrofit / ESPC",$L101="Retrofit + state stack"),$B$142,IF($L101="New build / PPEA",$B$144,$B$143))</f>
        <v>0.45</v>
      </c>
      <c r="O101" s="35">
        <f>IF($D101="On Nov 2026 ballot",$B$145,IF($D101="Levying since 2020-23",$B$147,IF($D101="Deferred, eyeing 2027",$B$148,$B$146)))</f>
        <v>0.8</v>
      </c>
      <c r="P101" s="34" t="str">
        <f>IF($E101=0,"",($F101/MAX($F$6:$F$138))^0.38*100*$N101*$O101)</f>
        <v/>
      </c>
      <c r="Q101" s="48" t="str">
        <f>IF($E101=0,"","P"&amp;MIN(4,ROUNDUP(RANK($P101,$P$6:$P$138)/COUNT($P$6:$P$138)*4,0)))</f>
        <v/>
      </c>
      <c r="R101" s="3" t="str">
        <f>IF($D101="On Nov 2026 ballot","Wave 1 - position before the vote",IF($D101="Deferred, eyeing 2027","Wave 3 - 2027 referendum cycle",IF($D101="Levying since 2020-23","Wave 2 - next phase / displace incumbent","Wave 1 - VERIFY referendum status first")))</f>
        <v>Wave 1 - VERIFY referendum status first</v>
      </c>
      <c r="S101" s="3" t="str">
        <f>IF($L101="Retrofit + state stack","SCAP application support + no-cost condition assessment",IF($L101="Retrofit / ESPC","No-cost facility condition assessment",IF($L101="New build / PPEA","PPEA concept + capital sequencing review",IF($L101="Blended programme","Capital programme structuring review","Targeted HVAC and roof scope review"))))</f>
        <v>PPEA concept + capital sequencing review</v>
      </c>
      <c r="T101" s="49"/>
      <c r="U101" s="49"/>
    </row>
    <row r="102" spans="1:21">
      <c r="A102" s="22" t="str">
        <f>'Opportunity Model'!A102</f>
        <v>Bristol City</v>
      </c>
      <c r="B102" s="22" t="str">
        <f>'Opportunity Model'!B102</f>
        <v>City</v>
      </c>
      <c r="C102" s="3" t="s">
        <v>350</v>
      </c>
      <c r="D102" s="22" t="str">
        <f>'Opportunity Model'!D102</f>
        <v>No public action found</v>
      </c>
      <c r="E102" s="22">
        <f>'Opportunity Model'!E102</f>
        <v>0</v>
      </c>
      <c r="F102" s="23">
        <f>'Opportunity Model'!G102</f>
        <v>218916283.09401146</v>
      </c>
      <c r="G102" s="23">
        <f>'Opportunity Model'!F102</f>
        <v>7252419.9950114274</v>
      </c>
      <c r="H102" s="45">
        <f>'Region Needs Profile'!B12</f>
        <v>-0.10009999999999999</v>
      </c>
      <c r="I102" s="46">
        <f>'Region Needs Profile'!C12</f>
        <v>58</v>
      </c>
      <c r="J102" s="47">
        <f>'Region Needs Profile'!P12</f>
        <v>-93.064667291471423</v>
      </c>
      <c r="K102" s="3" t="str">
        <f>IF($F102&gt;=PERCENTILE($F$6:$F$138,0.75),"High",IF($F102&gt;=PERCENTILE($F$6:$F$138,0.4),"Moderate","Low"))</f>
        <v>Moderate</v>
      </c>
      <c r="L102" s="3" t="str">
        <f>IF($J102&gt;=40,"New build / PPEA",IF($J102&lt;=-40,IF($K102="Low","Retrofit + state stack","Retrofit / ESPC"),IF($K102="High","Blended programme","Selective retrofit")))</f>
        <v>Retrofit / ESPC</v>
      </c>
      <c r="M102" s="3" t="str">
        <f>IF($L102="New build / PPEA","Levy-backed debt + PPEA availability payment + SCAP 10%",IF($L102="Retrofit + state stack","SCAP 20-30% + Literary Fund + levy + guaranteed savings",IF($L102="Retrofit / ESPC","Levy + guaranteed savings + VPSA pooled bond",IF($L102="Blended programme","Levy-backed debt + ESPC on the retained estate","SCAP + Literary Fund + guaranteed savings"))))</f>
        <v>Levy + guaranteed savings + VPSA pooled bond</v>
      </c>
      <c r="N102" s="35">
        <f>IF(OR($L102="Retrofit / ESPC",$L102="Retrofit + state stack"),$B$142,IF($L102="New build / PPEA",$B$144,$B$143))</f>
        <v>1</v>
      </c>
      <c r="O102" s="35">
        <f>IF($D102="On Nov 2026 ballot",$B$145,IF($D102="Levying since 2020-23",$B$147,IF($D102="Deferred, eyeing 2027",$B$148,$B$146)))</f>
        <v>0.8</v>
      </c>
      <c r="P102" s="34" t="str">
        <f>IF($E102=0,"",($F102/MAX($F$6:$F$138))^0.38*100*$N102*$O102)</f>
        <v/>
      </c>
      <c r="Q102" s="48" t="str">
        <f>IF($E102=0,"","P"&amp;MIN(4,ROUNDUP(RANK($P102,$P$6:$P$138)/COUNT($P$6:$P$138)*4,0)))</f>
        <v/>
      </c>
      <c r="R102" s="3" t="str">
        <f>IF($D102="On Nov 2026 ballot","Wave 1 - position before the vote",IF($D102="Deferred, eyeing 2027","Wave 3 - 2027 referendum cycle",IF($D102="Levying since 2020-23","Wave 2 - next phase / displace incumbent","Wave 1 - VERIFY referendum status first")))</f>
        <v>Wave 1 - VERIFY referendum status first</v>
      </c>
      <c r="S102" s="3" t="str">
        <f>IF($L102="Retrofit + state stack","SCAP application support + no-cost condition assessment",IF($L102="Retrofit / ESPC","No-cost facility condition assessment",IF($L102="New build / PPEA","PPEA concept + capital sequencing review",IF($L102="Blended programme","Capital programme structuring review","Targeted HVAC and roof scope review"))))</f>
        <v>No-cost facility condition assessment</v>
      </c>
      <c r="T102" s="49"/>
      <c r="U102" s="49"/>
    </row>
    <row r="103" spans="1:21">
      <c r="A103" s="50" t="str">
        <f>'Opportunity Model'!A103</f>
        <v>Buena Vista City</v>
      </c>
      <c r="B103" s="50" t="str">
        <f>'Opportunity Model'!B103</f>
        <v>City</v>
      </c>
      <c r="C103" s="51" t="s">
        <v>348</v>
      </c>
      <c r="D103" s="50" t="str">
        <f>'Opportunity Model'!D103</f>
        <v>No public action found</v>
      </c>
      <c r="E103" s="50">
        <f>'Opportunity Model'!E103</f>
        <v>0</v>
      </c>
      <c r="F103" s="52">
        <f>'Opportunity Model'!G103</f>
        <v>19641930.535533201</v>
      </c>
      <c r="G103" s="52">
        <f>'Opportunity Model'!F103</f>
        <v>684124.43868349202</v>
      </c>
      <c r="H103" s="53">
        <f>'Region Needs Profile'!B10</f>
        <v>3.0099999999999998E-2</v>
      </c>
      <c r="I103" s="54">
        <f>'Region Needs Profile'!C10</f>
        <v>55</v>
      </c>
      <c r="J103" s="55">
        <f>'Region Needs Profile'!P10</f>
        <v>10.405306444373188</v>
      </c>
      <c r="K103" s="51" t="str">
        <f>IF($F103&gt;=PERCENTILE($F$6:$F$138,0.75),"High",IF($F103&gt;=PERCENTILE($F$6:$F$138,0.4),"Moderate","Low"))</f>
        <v>Low</v>
      </c>
      <c r="L103" s="51" t="str">
        <f>IF($J103&gt;=40,"New build / PPEA",IF($J103&lt;=-40,IF($K103="Low","Retrofit + state stack","Retrofit / ESPC"),IF($K103="High","Blended programme","Selective retrofit")))</f>
        <v>Selective retrofit</v>
      </c>
      <c r="M103" s="51" t="str">
        <f>IF($L103="New build / PPEA","Levy-backed debt + PPEA availability payment + SCAP 10%",IF($L103="Retrofit + state stack","SCAP 20-30% + Literary Fund + levy + guaranteed savings",IF($L103="Retrofit / ESPC","Levy + guaranteed savings + VPSA pooled bond",IF($L103="Blended programme","Levy-backed debt + ESPC on the retained estate","SCAP + Literary Fund + guaranteed savings"))))</f>
        <v>SCAP + Literary Fund + guaranteed savings</v>
      </c>
      <c r="N103" s="35">
        <f>IF(OR($L103="Retrofit / ESPC",$L103="Retrofit + state stack"),$B$142,IF($L103="New build / PPEA",$B$144,$B$143))</f>
        <v>0.7</v>
      </c>
      <c r="O103" s="35">
        <f>IF($D103="On Nov 2026 ballot",$B$145,IF($D103="Levying since 2020-23",$B$147,IF($D103="Deferred, eyeing 2027",$B$148,$B$146)))</f>
        <v>0.8</v>
      </c>
      <c r="P103" s="34" t="str">
        <f>IF($E103=0,"",($F103/MAX($F$6:$F$138))^0.38*100*$N103*$O103)</f>
        <v/>
      </c>
      <c r="Q103" s="48" t="str">
        <f>IF($E103=0,"","P"&amp;MIN(4,ROUNDUP(RANK($P103,$P$6:$P$138)/COUNT($P$6:$P$138)*4,0)))</f>
        <v/>
      </c>
      <c r="R103" s="3" t="str">
        <f>IF($D103="On Nov 2026 ballot","Wave 1 - position before the vote",IF($D103="Deferred, eyeing 2027","Wave 3 - 2027 referendum cycle",IF($D103="Levying since 2020-23","Wave 2 - next phase / displace incumbent","Wave 1 - VERIFY referendum status first")))</f>
        <v>Wave 1 - VERIFY referendum status first</v>
      </c>
      <c r="S103" s="3" t="str">
        <f>IF($L103="Retrofit + state stack","SCAP application support + no-cost condition assessment",IF($L103="Retrofit / ESPC","No-cost facility condition assessment",IF($L103="New build / PPEA","PPEA concept + capital sequencing review",IF($L103="Blended programme","Capital programme structuring review","Targeted HVAC and roof scope review"))))</f>
        <v>Targeted HVAC and roof scope review</v>
      </c>
      <c r="T103" s="49"/>
      <c r="U103" s="49"/>
    </row>
    <row r="104" spans="1:21">
      <c r="A104" s="22" t="str">
        <f>'Opportunity Model'!A104</f>
        <v>Charlottesville City</v>
      </c>
      <c r="B104" s="22" t="str">
        <f>'Opportunity Model'!B104</f>
        <v>City</v>
      </c>
      <c r="C104" s="3" t="s">
        <v>348</v>
      </c>
      <c r="D104" s="22" t="str">
        <f>'Opportunity Model'!D104</f>
        <v>No public action found</v>
      </c>
      <c r="E104" s="22">
        <f>'Opportunity Model'!E104</f>
        <v>0</v>
      </c>
      <c r="F104" s="23">
        <f>'Opportunity Model'!G104</f>
        <v>433756177.56224805</v>
      </c>
      <c r="G104" s="23">
        <f>'Opportunity Model'!F104</f>
        <v>15370184.576248623</v>
      </c>
      <c r="H104" s="45">
        <f>'Region Needs Profile'!B10</f>
        <v>3.0099999999999998E-2</v>
      </c>
      <c r="I104" s="46">
        <f>'Region Needs Profile'!C10</f>
        <v>55</v>
      </c>
      <c r="J104" s="47">
        <f>'Region Needs Profile'!P10</f>
        <v>10.405306444373188</v>
      </c>
      <c r="K104" s="3" t="str">
        <f>IF($F104&gt;=PERCENTILE($F$6:$F$138,0.75),"High",IF($F104&gt;=PERCENTILE($F$6:$F$138,0.4),"Moderate","Low"))</f>
        <v>High</v>
      </c>
      <c r="L104" s="3" t="str">
        <f>IF($J104&gt;=40,"New build / PPEA",IF($J104&lt;=-40,IF($K104="Low","Retrofit + state stack","Retrofit / ESPC"),IF($K104="High","Blended programme","Selective retrofit")))</f>
        <v>Blended programme</v>
      </c>
      <c r="M104" s="3" t="str">
        <f>IF($L104="New build / PPEA","Levy-backed debt + PPEA availability payment + SCAP 10%",IF($L104="Retrofit + state stack","SCAP 20-30% + Literary Fund + levy + guaranteed savings",IF($L104="Retrofit / ESPC","Levy + guaranteed savings + VPSA pooled bond",IF($L104="Blended programme","Levy-backed debt + ESPC on the retained estate","SCAP + Literary Fund + guaranteed savings"))))</f>
        <v>Levy-backed debt + ESPC on the retained estate</v>
      </c>
      <c r="N104" s="35">
        <f>IF(OR($L104="Retrofit / ESPC",$L104="Retrofit + state stack"),$B$142,IF($L104="New build / PPEA",$B$144,$B$143))</f>
        <v>0.7</v>
      </c>
      <c r="O104" s="35">
        <f>IF($D104="On Nov 2026 ballot",$B$145,IF($D104="Levying since 2020-23",$B$147,IF($D104="Deferred, eyeing 2027",$B$148,$B$146)))</f>
        <v>0.8</v>
      </c>
      <c r="P104" s="34" t="str">
        <f>IF($E104=0,"",($F104/MAX($F$6:$F$138))^0.38*100*$N104*$O104)</f>
        <v/>
      </c>
      <c r="Q104" s="48" t="str">
        <f>IF($E104=0,"","P"&amp;MIN(4,ROUNDUP(RANK($P104,$P$6:$P$138)/COUNT($P$6:$P$138)*4,0)))</f>
        <v/>
      </c>
      <c r="R104" s="3" t="str">
        <f>IF($D104="On Nov 2026 ballot","Wave 1 - position before the vote",IF($D104="Deferred, eyeing 2027","Wave 3 - 2027 referendum cycle",IF($D104="Levying since 2020-23","Wave 2 - next phase / displace incumbent","Wave 1 - VERIFY referendum status first")))</f>
        <v>Wave 1 - VERIFY referendum status first</v>
      </c>
      <c r="S104" s="3" t="str">
        <f>IF($L104="Retrofit + state stack","SCAP application support + no-cost condition assessment",IF($L104="Retrofit / ESPC","No-cost facility condition assessment",IF($L104="New build / PPEA","PPEA concept + capital sequencing review",IF($L104="Blended programme","Capital programme structuring review","Targeted HVAC and roof scope review"))))</f>
        <v>Capital programme structuring review</v>
      </c>
      <c r="T104" s="49"/>
      <c r="U104" s="49"/>
    </row>
    <row r="105" spans="1:21">
      <c r="A105" s="50" t="str">
        <f>'Opportunity Model'!A105</f>
        <v>Chesapeake City</v>
      </c>
      <c r="B105" s="50" t="str">
        <f>'Opportunity Model'!B105</f>
        <v>City</v>
      </c>
      <c r="C105" s="51" t="s">
        <v>345</v>
      </c>
      <c r="D105" s="50" t="str">
        <f>'Opportunity Model'!D105</f>
        <v>No public action found</v>
      </c>
      <c r="E105" s="50">
        <f>'Opportunity Model'!E105</f>
        <v>0</v>
      </c>
      <c r="F105" s="52">
        <f>'Opportunity Model'!G105</f>
        <v>1968177581.6670222</v>
      </c>
      <c r="G105" s="52">
        <f>'Opportunity Model'!F105</f>
        <v>65696672.87002074</v>
      </c>
      <c r="H105" s="53">
        <f>'Region Needs Profile'!B7</f>
        <v>1.43E-2</v>
      </c>
      <c r="I105" s="54">
        <f>'Region Needs Profile'!C7</f>
        <v>50</v>
      </c>
      <c r="J105" s="55">
        <f>'Region Needs Profile'!P7</f>
        <v>-8.3941601847190412</v>
      </c>
      <c r="K105" s="51" t="str">
        <f>IF($F105&gt;=PERCENTILE($F$6:$F$138,0.75),"High",IF($F105&gt;=PERCENTILE($F$6:$F$138,0.4),"Moderate","Low"))</f>
        <v>High</v>
      </c>
      <c r="L105" s="51" t="str">
        <f>IF($J105&gt;=40,"New build / PPEA",IF($J105&lt;=-40,IF($K105="Low","Retrofit + state stack","Retrofit / ESPC"),IF($K105="High","Blended programme","Selective retrofit")))</f>
        <v>Blended programme</v>
      </c>
      <c r="M105" s="51" t="str">
        <f>IF($L105="New build / PPEA","Levy-backed debt + PPEA availability payment + SCAP 10%",IF($L105="Retrofit + state stack","SCAP 20-30% + Literary Fund + levy + guaranteed savings",IF($L105="Retrofit / ESPC","Levy + guaranteed savings + VPSA pooled bond",IF($L105="Blended programme","Levy-backed debt + ESPC on the retained estate","SCAP + Literary Fund + guaranteed savings"))))</f>
        <v>Levy-backed debt + ESPC on the retained estate</v>
      </c>
      <c r="N105" s="35">
        <f>IF(OR($L105="Retrofit / ESPC",$L105="Retrofit + state stack"),$B$142,IF($L105="New build / PPEA",$B$144,$B$143))</f>
        <v>0.7</v>
      </c>
      <c r="O105" s="35">
        <f>IF($D105="On Nov 2026 ballot",$B$145,IF($D105="Levying since 2020-23",$B$147,IF($D105="Deferred, eyeing 2027",$B$148,$B$146)))</f>
        <v>0.8</v>
      </c>
      <c r="P105" s="34" t="str">
        <f>IF($E105=0,"",($F105/MAX($F$6:$F$138))^0.38*100*$N105*$O105)</f>
        <v/>
      </c>
      <c r="Q105" s="48" t="str">
        <f>IF($E105=0,"","P"&amp;MIN(4,ROUNDUP(RANK($P105,$P$6:$P$138)/COUNT($P$6:$P$138)*4,0)))</f>
        <v/>
      </c>
      <c r="R105" s="3" t="str">
        <f>IF($D105="On Nov 2026 ballot","Wave 1 - position before the vote",IF($D105="Deferred, eyeing 2027","Wave 3 - 2027 referendum cycle",IF($D105="Levying since 2020-23","Wave 2 - next phase / displace incumbent","Wave 1 - VERIFY referendum status first")))</f>
        <v>Wave 1 - VERIFY referendum status first</v>
      </c>
      <c r="S105" s="3" t="str">
        <f>IF($L105="Retrofit + state stack","SCAP application support + no-cost condition assessment",IF($L105="Retrofit / ESPC","No-cost facility condition assessment",IF($L105="New build / PPEA","PPEA concept + capital sequencing review",IF($L105="Blended programme","Capital programme structuring review","Targeted HVAC and roof scope review"))))</f>
        <v>Capital programme structuring review</v>
      </c>
      <c r="T105" s="49"/>
      <c r="U105" s="49"/>
    </row>
    <row r="106" spans="1:21">
      <c r="A106" s="22" t="str">
        <f>'Opportunity Model'!A106</f>
        <v>Colonial Heights City</v>
      </c>
      <c r="B106" s="22" t="str">
        <f>'Opportunity Model'!B106</f>
        <v>City</v>
      </c>
      <c r="C106" s="3" t="s">
        <v>344</v>
      </c>
      <c r="D106" s="22" t="str">
        <f>'Opportunity Model'!D106</f>
        <v>No public action found</v>
      </c>
      <c r="E106" s="22">
        <f>'Opportunity Model'!E106</f>
        <v>0</v>
      </c>
      <c r="F106" s="23">
        <f>'Opportunity Model'!G106</f>
        <v>308429524.87053496</v>
      </c>
      <c r="G106" s="23">
        <f>'Opportunity Model'!F106</f>
        <v>10916722.09448682</v>
      </c>
      <c r="H106" s="45">
        <f>'Region Needs Profile'!B6</f>
        <v>5.8400000000000001E-2</v>
      </c>
      <c r="I106" s="46">
        <f>'Region Needs Profile'!C6</f>
        <v>50</v>
      </c>
      <c r="J106" s="47">
        <f>'Region Needs Profile'!P6</f>
        <v>20.904227632388256</v>
      </c>
      <c r="K106" s="3" t="str">
        <f>IF($F106&gt;=PERCENTILE($F$6:$F$138,0.75),"High",IF($F106&gt;=PERCENTILE($F$6:$F$138,0.4),"Moderate","Low"))</f>
        <v>Moderate</v>
      </c>
      <c r="L106" s="3" t="str">
        <f>IF($J106&gt;=40,"New build / PPEA",IF($J106&lt;=-40,IF($K106="Low","Retrofit + state stack","Retrofit / ESPC"),IF($K106="High","Blended programme","Selective retrofit")))</f>
        <v>Selective retrofit</v>
      </c>
      <c r="M106" s="3" t="str">
        <f>IF($L106="New build / PPEA","Levy-backed debt + PPEA availability payment + SCAP 10%",IF($L106="Retrofit + state stack","SCAP 20-30% + Literary Fund + levy + guaranteed savings",IF($L106="Retrofit / ESPC","Levy + guaranteed savings + VPSA pooled bond",IF($L106="Blended programme","Levy-backed debt + ESPC on the retained estate","SCAP + Literary Fund + guaranteed savings"))))</f>
        <v>SCAP + Literary Fund + guaranteed savings</v>
      </c>
      <c r="N106" s="35">
        <f>IF(OR($L106="Retrofit / ESPC",$L106="Retrofit + state stack"),$B$142,IF($L106="New build / PPEA",$B$144,$B$143))</f>
        <v>0.7</v>
      </c>
      <c r="O106" s="35">
        <f>IF($D106="On Nov 2026 ballot",$B$145,IF($D106="Levying since 2020-23",$B$147,IF($D106="Deferred, eyeing 2027",$B$148,$B$146)))</f>
        <v>0.8</v>
      </c>
      <c r="P106" s="34" t="str">
        <f>IF($E106=0,"",($F106/MAX($F$6:$F$138))^0.38*100*$N106*$O106)</f>
        <v/>
      </c>
      <c r="Q106" s="48" t="str">
        <f>IF($E106=0,"","P"&amp;MIN(4,ROUNDUP(RANK($P106,$P$6:$P$138)/COUNT($P$6:$P$138)*4,0)))</f>
        <v/>
      </c>
      <c r="R106" s="3" t="str">
        <f>IF($D106="On Nov 2026 ballot","Wave 1 - position before the vote",IF($D106="Deferred, eyeing 2027","Wave 3 - 2027 referendum cycle",IF($D106="Levying since 2020-23","Wave 2 - next phase / displace incumbent","Wave 1 - VERIFY referendum status first")))</f>
        <v>Wave 1 - VERIFY referendum status first</v>
      </c>
      <c r="S106" s="3" t="str">
        <f>IF($L106="Retrofit + state stack","SCAP application support + no-cost condition assessment",IF($L106="Retrofit / ESPC","No-cost facility condition assessment",IF($L106="New build / PPEA","PPEA concept + capital sequencing review",IF($L106="Blended programme","Capital programme structuring review","Targeted HVAC and roof scope review"))))</f>
        <v>Targeted HVAC and roof scope review</v>
      </c>
      <c r="T106" s="49"/>
      <c r="U106" s="49"/>
    </row>
    <row r="107" spans="1:21">
      <c r="A107" s="50" t="str">
        <f>'Opportunity Model'!A107</f>
        <v>Covington City</v>
      </c>
      <c r="B107" s="50" t="str">
        <f>'Opportunity Model'!B107</f>
        <v>City</v>
      </c>
      <c r="C107" s="51" t="s">
        <v>349</v>
      </c>
      <c r="D107" s="50" t="str">
        <f>'Opportunity Model'!D107</f>
        <v>No public action found</v>
      </c>
      <c r="E107" s="50">
        <f>'Opportunity Model'!E107</f>
        <v>0</v>
      </c>
      <c r="F107" s="52">
        <f>'Opportunity Model'!G107</f>
        <v>53821548.488240644</v>
      </c>
      <c r="G107" s="52">
        <f>'Opportunity Model'!F107</f>
        <v>1925811.2815188414</v>
      </c>
      <c r="H107" s="53">
        <f>'Region Needs Profile'!B11</f>
        <v>-6.7799999999999999E-2</v>
      </c>
      <c r="I107" s="54">
        <f>'Region Needs Profile'!C11</f>
        <v>58</v>
      </c>
      <c r="J107" s="55">
        <f>'Region Needs Profile'!P11</f>
        <v>-65.331357599398828</v>
      </c>
      <c r="K107" s="51" t="str">
        <f>IF($F107&gt;=PERCENTILE($F$6:$F$138,0.75),"High",IF($F107&gt;=PERCENTILE($F$6:$F$138,0.4),"Moderate","Low"))</f>
        <v>Low</v>
      </c>
      <c r="L107" s="51" t="str">
        <f>IF($J107&gt;=40,"New build / PPEA",IF($J107&lt;=-40,IF($K107="Low","Retrofit + state stack","Retrofit / ESPC"),IF($K107="High","Blended programme","Selective retrofit")))</f>
        <v>Retrofit + state stack</v>
      </c>
      <c r="M107" s="51" t="str">
        <f>IF($L107="New build / PPEA","Levy-backed debt + PPEA availability payment + SCAP 10%",IF($L107="Retrofit + state stack","SCAP 20-30% + Literary Fund + levy + guaranteed savings",IF($L107="Retrofit / ESPC","Levy + guaranteed savings + VPSA pooled bond",IF($L107="Blended programme","Levy-backed debt + ESPC on the retained estate","SCAP + Literary Fund + guaranteed savings"))))</f>
        <v>SCAP 20-30% + Literary Fund + levy + guaranteed savings</v>
      </c>
      <c r="N107" s="35">
        <f>IF(OR($L107="Retrofit / ESPC",$L107="Retrofit + state stack"),$B$142,IF($L107="New build / PPEA",$B$144,$B$143))</f>
        <v>1</v>
      </c>
      <c r="O107" s="35">
        <f>IF($D107="On Nov 2026 ballot",$B$145,IF($D107="Levying since 2020-23",$B$147,IF($D107="Deferred, eyeing 2027",$B$148,$B$146)))</f>
        <v>0.8</v>
      </c>
      <c r="P107" s="34" t="str">
        <f>IF($E107=0,"",($F107/MAX($F$6:$F$138))^0.38*100*$N107*$O107)</f>
        <v/>
      </c>
      <c r="Q107" s="48" t="str">
        <f>IF($E107=0,"","P"&amp;MIN(4,ROUNDUP(RANK($P107,$P$6:$P$138)/COUNT($P$6:$P$138)*4,0)))</f>
        <v/>
      </c>
      <c r="R107" s="3" t="str">
        <f>IF($D107="On Nov 2026 ballot","Wave 1 - position before the vote",IF($D107="Deferred, eyeing 2027","Wave 3 - 2027 referendum cycle",IF($D107="Levying since 2020-23","Wave 2 - next phase / displace incumbent","Wave 1 - VERIFY referendum status first")))</f>
        <v>Wave 1 - VERIFY referendum status first</v>
      </c>
      <c r="S107" s="3" t="str">
        <f>IF($L107="Retrofit + state stack","SCAP application support + no-cost condition assessment",IF($L107="Retrofit / ESPC","No-cost facility condition assessment",IF($L107="New build / PPEA","PPEA concept + capital sequencing review",IF($L107="Blended programme","Capital programme structuring review","Targeted HVAC and roof scope review"))))</f>
        <v>SCAP application support + no-cost condition assessment</v>
      </c>
      <c r="T107" s="49"/>
      <c r="U107" s="49"/>
    </row>
    <row r="108" spans="1:21">
      <c r="A108" s="22" t="str">
        <f>'Opportunity Model'!A108</f>
        <v>Danville City</v>
      </c>
      <c r="B108" s="22" t="str">
        <f>'Opportunity Model'!B108</f>
        <v>City</v>
      </c>
      <c r="C108" s="3" t="s">
        <v>349</v>
      </c>
      <c r="D108" s="22" t="str">
        <f>'Opportunity Model'!D108</f>
        <v>Levying since 2020-23</v>
      </c>
      <c r="E108" s="22">
        <f>'Opportunity Model'!E108</f>
        <v>0</v>
      </c>
      <c r="F108" s="23">
        <f>'Opportunity Model'!G108</f>
        <v>464297608.82676506</v>
      </c>
      <c r="G108" s="23">
        <f>'Opportunity Model'!F108</f>
        <v>15068397.022132391</v>
      </c>
      <c r="H108" s="45">
        <f>'Region Needs Profile'!B11</f>
        <v>-6.7799999999999999E-2</v>
      </c>
      <c r="I108" s="46">
        <f>'Region Needs Profile'!C11</f>
        <v>58</v>
      </c>
      <c r="J108" s="47">
        <f>'Region Needs Profile'!P11</f>
        <v>-65.331357599398828</v>
      </c>
      <c r="K108" s="3" t="str">
        <f>IF($F108&gt;=PERCENTILE($F$6:$F$138,0.75),"High",IF($F108&gt;=PERCENTILE($F$6:$F$138,0.4),"Moderate","Low"))</f>
        <v>High</v>
      </c>
      <c r="L108" s="3" t="str">
        <f>IF($J108&gt;=40,"New build / PPEA",IF($J108&lt;=-40,IF($K108="Low","Retrofit + state stack","Retrofit / ESPC"),IF($K108="High","Blended programme","Selective retrofit")))</f>
        <v>Retrofit / ESPC</v>
      </c>
      <c r="M108" s="3" t="str">
        <f>IF($L108="New build / PPEA","Levy-backed debt + PPEA availability payment + SCAP 10%",IF($L108="Retrofit + state stack","SCAP 20-30% + Literary Fund + levy + guaranteed savings",IF($L108="Retrofit / ESPC","Levy + guaranteed savings + VPSA pooled bond",IF($L108="Blended programme","Levy-backed debt + ESPC on the retained estate","SCAP + Literary Fund + guaranteed savings"))))</f>
        <v>Levy + guaranteed savings + VPSA pooled bond</v>
      </c>
      <c r="N108" s="35">
        <f>IF(OR($L108="Retrofit / ESPC",$L108="Retrofit + state stack"),$B$142,IF($L108="New build / PPEA",$B$144,$B$143))</f>
        <v>1</v>
      </c>
      <c r="O108" s="35">
        <f>IF($D108="On Nov 2026 ballot",$B$145,IF($D108="Levying since 2020-23",$B$147,IF($D108="Deferred, eyeing 2027",$B$148,$B$146)))</f>
        <v>0.65</v>
      </c>
      <c r="P108" s="34" t="str">
        <f>IF($E108=0,"",($F108/MAX($F$6:$F$138))^0.38*100*$N108*$O108)</f>
        <v/>
      </c>
      <c r="Q108" s="48" t="str">
        <f>IF($E108=0,"","P"&amp;MIN(4,ROUNDUP(RANK($P108,$P$6:$P$138)/COUNT($P$6:$P$138)*4,0)))</f>
        <v/>
      </c>
      <c r="R108" s="3" t="str">
        <f>IF($D108="On Nov 2026 ballot","Wave 1 - position before the vote",IF($D108="Deferred, eyeing 2027","Wave 3 - 2027 referendum cycle",IF($D108="Levying since 2020-23","Wave 2 - next phase / displace incumbent","Wave 1 - VERIFY referendum status first")))</f>
        <v>Wave 2 - next phase / displace incumbent</v>
      </c>
      <c r="S108" s="3" t="str">
        <f>IF($L108="Retrofit + state stack","SCAP application support + no-cost condition assessment",IF($L108="Retrofit / ESPC","No-cost facility condition assessment",IF($L108="New build / PPEA","PPEA concept + capital sequencing review",IF($L108="Blended programme","Capital programme structuring review","Targeted HVAC and roof scope review"))))</f>
        <v>No-cost facility condition assessment</v>
      </c>
      <c r="T108" s="49"/>
      <c r="U108" s="49"/>
    </row>
    <row r="109" spans="1:21">
      <c r="A109" s="50" t="str">
        <f>'Opportunity Model'!A109</f>
        <v>Emporia City</v>
      </c>
      <c r="B109" s="50" t="str">
        <f>'Opportunity Model'!B109</f>
        <v>City</v>
      </c>
      <c r="C109" s="51" t="s">
        <v>351</v>
      </c>
      <c r="D109" s="50" t="str">
        <f>'Opportunity Model'!D109</f>
        <v>On Nov 2026 ballot</v>
      </c>
      <c r="E109" s="50">
        <f>'Opportunity Model'!E109</f>
        <v>0</v>
      </c>
      <c r="F109" s="52">
        <f>'Opportunity Model'!G109</f>
        <v>96263645.546330854</v>
      </c>
      <c r="G109" s="52">
        <f>'Opportunity Model'!F109</f>
        <v>3089056.3440170367</v>
      </c>
      <c r="H109" s="53">
        <f>'Region Needs Profile'!B13</f>
        <v>-7.3999999999999996E-2</v>
      </c>
      <c r="I109" s="54">
        <f>'Region Needs Profile'!C13</f>
        <v>58</v>
      </c>
      <c r="J109" s="55">
        <f>'Region Needs Profile'!P13</f>
        <v>-87.624466571835001</v>
      </c>
      <c r="K109" s="51" t="str">
        <f>IF($F109&gt;=PERCENTILE($F$6:$F$138,0.75),"High",IF($F109&gt;=PERCENTILE($F$6:$F$138,0.4),"Moderate","Low"))</f>
        <v>Low</v>
      </c>
      <c r="L109" s="51" t="str">
        <f>IF($J109&gt;=40,"New build / PPEA",IF($J109&lt;=-40,IF($K109="Low","Retrofit + state stack","Retrofit / ESPC"),IF($K109="High","Blended programme","Selective retrofit")))</f>
        <v>Retrofit + state stack</v>
      </c>
      <c r="M109" s="51" t="str">
        <f>IF($L109="New build / PPEA","Levy-backed debt + PPEA availability payment + SCAP 10%",IF($L109="Retrofit + state stack","SCAP 20-30% + Literary Fund + levy + guaranteed savings",IF($L109="Retrofit / ESPC","Levy + guaranteed savings + VPSA pooled bond",IF($L109="Blended programme","Levy-backed debt + ESPC on the retained estate","SCAP + Literary Fund + guaranteed savings"))))</f>
        <v>SCAP 20-30% + Literary Fund + levy + guaranteed savings</v>
      </c>
      <c r="N109" s="35">
        <f>IF(OR($L109="Retrofit / ESPC",$L109="Retrofit + state stack"),$B$142,IF($L109="New build / PPEA",$B$144,$B$143))</f>
        <v>1</v>
      </c>
      <c r="O109" s="35">
        <f>IF($D109="On Nov 2026 ballot",$B$145,IF($D109="Levying since 2020-23",$B$147,IF($D109="Deferred, eyeing 2027",$B$148,$B$146)))</f>
        <v>1</v>
      </c>
      <c r="P109" s="34" t="str">
        <f>IF($E109=0,"",($F109/MAX($F$6:$F$138))^0.38*100*$N109*$O109)</f>
        <v/>
      </c>
      <c r="Q109" s="48" t="str">
        <f>IF($E109=0,"","P"&amp;MIN(4,ROUNDUP(RANK($P109,$P$6:$P$138)/COUNT($P$6:$P$138)*4,0)))</f>
        <v/>
      </c>
      <c r="R109" s="3" t="str">
        <f>IF($D109="On Nov 2026 ballot","Wave 1 - position before the vote",IF($D109="Deferred, eyeing 2027","Wave 3 - 2027 referendum cycle",IF($D109="Levying since 2020-23","Wave 2 - next phase / displace incumbent","Wave 1 - VERIFY referendum status first")))</f>
        <v>Wave 1 - position before the vote</v>
      </c>
      <c r="S109" s="3" t="str">
        <f>IF($L109="Retrofit + state stack","SCAP application support + no-cost condition assessment",IF($L109="Retrofit / ESPC","No-cost facility condition assessment",IF($L109="New build / PPEA","PPEA concept + capital sequencing review",IF($L109="Blended programme","Capital programme structuring review","Targeted HVAC and roof scope review"))))</f>
        <v>SCAP application support + no-cost condition assessment</v>
      </c>
      <c r="T109" s="49"/>
      <c r="U109" s="49"/>
    </row>
    <row r="110" spans="1:21">
      <c r="A110" s="22" t="str">
        <f>'Opportunity Model'!A110</f>
        <v>Fairfax City</v>
      </c>
      <c r="B110" s="22" t="str">
        <f>'Opportunity Model'!B110</f>
        <v>City</v>
      </c>
      <c r="C110" s="3" t="s">
        <v>347</v>
      </c>
      <c r="D110" s="22" t="str">
        <f>'Opportunity Model'!D110</f>
        <v>On Nov 2026 ballot</v>
      </c>
      <c r="E110" s="22">
        <f>'Opportunity Model'!E110</f>
        <v>0</v>
      </c>
      <c r="F110" s="23">
        <f>'Opportunity Model'!G110</f>
        <v>380113042.08059305</v>
      </c>
      <c r="G110" s="23">
        <f>'Opportunity Model'!F110</f>
        <v>14320888.611874102</v>
      </c>
      <c r="H110" s="45">
        <f>'Region Needs Profile'!B9</f>
        <v>7.9399999999999998E-2</v>
      </c>
      <c r="I110" s="46">
        <f>'Region Needs Profile'!C9</f>
        <v>48</v>
      </c>
      <c r="J110" s="47">
        <f>'Region Needs Profile'!P9</f>
        <v>54.342196447459614</v>
      </c>
      <c r="K110" s="3" t="str">
        <f>IF($F110&gt;=PERCENTILE($F$6:$F$138,0.75),"High",IF($F110&gt;=PERCENTILE($F$6:$F$138,0.4),"Moderate","Low"))</f>
        <v>Moderate</v>
      </c>
      <c r="L110" s="3" t="str">
        <f>IF($J110&gt;=40,"New build / PPEA",IF($J110&lt;=-40,IF($K110="Low","Retrofit + state stack","Retrofit / ESPC"),IF($K110="High","Blended programme","Selective retrofit")))</f>
        <v>New build / PPEA</v>
      </c>
      <c r="M110" s="3" t="str">
        <f>IF($L110="New build / PPEA","Levy-backed debt + PPEA availability payment + SCAP 10%",IF($L110="Retrofit + state stack","SCAP 20-30% + Literary Fund + levy + guaranteed savings",IF($L110="Retrofit / ESPC","Levy + guaranteed savings + VPSA pooled bond",IF($L110="Blended programme","Levy-backed debt + ESPC on the retained estate","SCAP + Literary Fund + guaranteed savings"))))</f>
        <v>Levy-backed debt + PPEA availability payment + SCAP 10%</v>
      </c>
      <c r="N110" s="35">
        <f>IF(OR($L110="Retrofit / ESPC",$L110="Retrofit + state stack"),$B$142,IF($L110="New build / PPEA",$B$144,$B$143))</f>
        <v>0.45</v>
      </c>
      <c r="O110" s="35">
        <f>IF($D110="On Nov 2026 ballot",$B$145,IF($D110="Levying since 2020-23",$B$147,IF($D110="Deferred, eyeing 2027",$B$148,$B$146)))</f>
        <v>1</v>
      </c>
      <c r="P110" s="34" t="str">
        <f>IF($E110=0,"",($F110/MAX($F$6:$F$138))^0.38*100*$N110*$O110)</f>
        <v/>
      </c>
      <c r="Q110" s="48" t="str">
        <f>IF($E110=0,"","P"&amp;MIN(4,ROUNDUP(RANK($P110,$P$6:$P$138)/COUNT($P$6:$P$138)*4,0)))</f>
        <v/>
      </c>
      <c r="R110" s="3" t="str">
        <f>IF($D110="On Nov 2026 ballot","Wave 1 - position before the vote",IF($D110="Deferred, eyeing 2027","Wave 3 - 2027 referendum cycle",IF($D110="Levying since 2020-23","Wave 2 - next phase / displace incumbent","Wave 1 - VERIFY referendum status first")))</f>
        <v>Wave 1 - position before the vote</v>
      </c>
      <c r="S110" s="3" t="str">
        <f>IF($L110="Retrofit + state stack","SCAP application support + no-cost condition assessment",IF($L110="Retrofit / ESPC","No-cost facility condition assessment",IF($L110="New build / PPEA","PPEA concept + capital sequencing review",IF($L110="Blended programme","Capital programme structuring review","Targeted HVAC and roof scope review"))))</f>
        <v>PPEA concept + capital sequencing review</v>
      </c>
      <c r="T110" s="49"/>
      <c r="U110" s="49"/>
    </row>
    <row r="111" spans="1:21">
      <c r="A111" s="50" t="str">
        <f>'Opportunity Model'!A111</f>
        <v>Falls Church City</v>
      </c>
      <c r="B111" s="50" t="str">
        <f>'Opportunity Model'!B111</f>
        <v>City</v>
      </c>
      <c r="C111" s="51" t="s">
        <v>347</v>
      </c>
      <c r="D111" s="50" t="str">
        <f>'Opportunity Model'!D111</f>
        <v>No public action found</v>
      </c>
      <c r="E111" s="50">
        <f>'Opportunity Model'!E111</f>
        <v>0</v>
      </c>
      <c r="F111" s="52">
        <f>'Opportunity Model'!G111</f>
        <v>230484419.24993622</v>
      </c>
      <c r="G111" s="52">
        <f>'Opportunity Model'!F111</f>
        <v>7773741.2833369933</v>
      </c>
      <c r="H111" s="53">
        <f>'Region Needs Profile'!B9</f>
        <v>7.9399999999999998E-2</v>
      </c>
      <c r="I111" s="54">
        <f>'Region Needs Profile'!C9</f>
        <v>48</v>
      </c>
      <c r="J111" s="55">
        <f>'Region Needs Profile'!P9</f>
        <v>54.342196447459614</v>
      </c>
      <c r="K111" s="51" t="str">
        <f>IF($F111&gt;=PERCENTILE($F$6:$F$138,0.75),"High",IF($F111&gt;=PERCENTILE($F$6:$F$138,0.4),"Moderate","Low"))</f>
        <v>Moderate</v>
      </c>
      <c r="L111" s="51" t="str">
        <f>IF($J111&gt;=40,"New build / PPEA",IF($J111&lt;=-40,IF($K111="Low","Retrofit + state stack","Retrofit / ESPC"),IF($K111="High","Blended programme","Selective retrofit")))</f>
        <v>New build / PPEA</v>
      </c>
      <c r="M111" s="51" t="str">
        <f>IF($L111="New build / PPEA","Levy-backed debt + PPEA availability payment + SCAP 10%",IF($L111="Retrofit + state stack","SCAP 20-30% + Literary Fund + levy + guaranteed savings",IF($L111="Retrofit / ESPC","Levy + guaranteed savings + VPSA pooled bond",IF($L111="Blended programme","Levy-backed debt + ESPC on the retained estate","SCAP + Literary Fund + guaranteed savings"))))</f>
        <v>Levy-backed debt + PPEA availability payment + SCAP 10%</v>
      </c>
      <c r="N111" s="35">
        <f>IF(OR($L111="Retrofit / ESPC",$L111="Retrofit + state stack"),$B$142,IF($L111="New build / PPEA",$B$144,$B$143))</f>
        <v>0.45</v>
      </c>
      <c r="O111" s="35">
        <f>IF($D111="On Nov 2026 ballot",$B$145,IF($D111="Levying since 2020-23",$B$147,IF($D111="Deferred, eyeing 2027",$B$148,$B$146)))</f>
        <v>0.8</v>
      </c>
      <c r="P111" s="34" t="str">
        <f>IF($E111=0,"",($F111/MAX($F$6:$F$138))^0.38*100*$N111*$O111)</f>
        <v/>
      </c>
      <c r="Q111" s="48" t="str">
        <f>IF($E111=0,"","P"&amp;MIN(4,ROUNDUP(RANK($P111,$P$6:$P$138)/COUNT($P$6:$P$138)*4,0)))</f>
        <v/>
      </c>
      <c r="R111" s="3" t="str">
        <f>IF($D111="On Nov 2026 ballot","Wave 1 - position before the vote",IF($D111="Deferred, eyeing 2027","Wave 3 - 2027 referendum cycle",IF($D111="Levying since 2020-23","Wave 2 - next phase / displace incumbent","Wave 1 - VERIFY referendum status first")))</f>
        <v>Wave 1 - VERIFY referendum status first</v>
      </c>
      <c r="S111" s="3" t="str">
        <f>IF($L111="Retrofit + state stack","SCAP application support + no-cost condition assessment",IF($L111="Retrofit / ESPC","No-cost facility condition assessment",IF($L111="New build / PPEA","PPEA concept + capital sequencing review",IF($L111="Blended programme","Capital programme structuring review","Targeted HVAC and roof scope review"))))</f>
        <v>PPEA concept + capital sequencing review</v>
      </c>
      <c r="T111" s="49"/>
      <c r="U111" s="49"/>
    </row>
    <row r="112" spans="1:21">
      <c r="A112" s="22" t="str">
        <f>'Opportunity Model'!A112</f>
        <v>Franklin City</v>
      </c>
      <c r="B112" s="22" t="str">
        <f>'Opportunity Model'!B112</f>
        <v>City</v>
      </c>
      <c r="C112" s="3" t="s">
        <v>345</v>
      </c>
      <c r="D112" s="22" t="str">
        <f>'Opportunity Model'!D112</f>
        <v>No public action found</v>
      </c>
      <c r="E112" s="22">
        <f>'Opportunity Model'!E112</f>
        <v>0</v>
      </c>
      <c r="F112" s="23">
        <f>'Opportunity Model'!G112</f>
        <v>70300595.244396567</v>
      </c>
      <c r="G112" s="23">
        <f>'Opportunity Model'!F112</f>
        <v>2564263.467076845</v>
      </c>
      <c r="H112" s="45">
        <f>'Region Needs Profile'!B7</f>
        <v>1.43E-2</v>
      </c>
      <c r="I112" s="46">
        <f>'Region Needs Profile'!C7</f>
        <v>50</v>
      </c>
      <c r="J112" s="47">
        <f>'Region Needs Profile'!P7</f>
        <v>-8.3941601847190412</v>
      </c>
      <c r="K112" s="3" t="str">
        <f>IF($F112&gt;=PERCENTILE($F$6:$F$138,0.75),"High",IF($F112&gt;=PERCENTILE($F$6:$F$138,0.4),"Moderate","Low"))</f>
        <v>Low</v>
      </c>
      <c r="L112" s="3" t="str">
        <f>IF($J112&gt;=40,"New build / PPEA",IF($J112&lt;=-40,IF($K112="Low","Retrofit + state stack","Retrofit / ESPC"),IF($K112="High","Blended programme","Selective retrofit")))</f>
        <v>Selective retrofit</v>
      </c>
      <c r="M112" s="3" t="str">
        <f>IF($L112="New build / PPEA","Levy-backed debt + PPEA availability payment + SCAP 10%",IF($L112="Retrofit + state stack","SCAP 20-30% + Literary Fund + levy + guaranteed savings",IF($L112="Retrofit / ESPC","Levy + guaranteed savings + VPSA pooled bond",IF($L112="Blended programme","Levy-backed debt + ESPC on the retained estate","SCAP + Literary Fund + guaranteed savings"))))</f>
        <v>SCAP + Literary Fund + guaranteed savings</v>
      </c>
      <c r="N112" s="35">
        <f>IF(OR($L112="Retrofit / ESPC",$L112="Retrofit + state stack"),$B$142,IF($L112="New build / PPEA",$B$144,$B$143))</f>
        <v>0.7</v>
      </c>
      <c r="O112" s="35">
        <f>IF($D112="On Nov 2026 ballot",$B$145,IF($D112="Levying since 2020-23",$B$147,IF($D112="Deferred, eyeing 2027",$B$148,$B$146)))</f>
        <v>0.8</v>
      </c>
      <c r="P112" s="34" t="str">
        <f>IF($E112=0,"",($F112/MAX($F$6:$F$138))^0.38*100*$N112*$O112)</f>
        <v/>
      </c>
      <c r="Q112" s="48" t="str">
        <f>IF($E112=0,"","P"&amp;MIN(4,ROUNDUP(RANK($P112,$P$6:$P$138)/COUNT($P$6:$P$138)*4,0)))</f>
        <v/>
      </c>
      <c r="R112" s="3" t="str">
        <f>IF($D112="On Nov 2026 ballot","Wave 1 - position before the vote",IF($D112="Deferred, eyeing 2027","Wave 3 - 2027 referendum cycle",IF($D112="Levying since 2020-23","Wave 2 - next phase / displace incumbent","Wave 1 - VERIFY referendum status first")))</f>
        <v>Wave 1 - VERIFY referendum status first</v>
      </c>
      <c r="S112" s="3" t="str">
        <f>IF($L112="Retrofit + state stack","SCAP application support + no-cost condition assessment",IF($L112="Retrofit / ESPC","No-cost facility condition assessment",IF($L112="New build / PPEA","PPEA concept + capital sequencing review",IF($L112="Blended programme","Capital programme structuring review","Targeted HVAC and roof scope review"))))</f>
        <v>Targeted HVAC and roof scope review</v>
      </c>
      <c r="T112" s="49"/>
      <c r="U112" s="49"/>
    </row>
    <row r="113" spans="1:21">
      <c r="A113" s="50" t="str">
        <f>'Opportunity Model'!A113</f>
        <v>Fredericksburg City</v>
      </c>
      <c r="B113" s="50" t="str">
        <f>'Opportunity Model'!B113</f>
        <v>City</v>
      </c>
      <c r="C113" s="51" t="s">
        <v>346</v>
      </c>
      <c r="D113" s="50" t="str">
        <f>'Opportunity Model'!D113</f>
        <v>Deferred, eyeing 2027</v>
      </c>
      <c r="E113" s="50">
        <f>'Opportunity Model'!E113</f>
        <v>0</v>
      </c>
      <c r="F113" s="52">
        <f>'Opportunity Model'!G113</f>
        <v>539432521.5446974</v>
      </c>
      <c r="G113" s="52">
        <f>'Opportunity Model'!F113</f>
        <v>17975864.547103863</v>
      </c>
      <c r="H113" s="53">
        <f>'Region Needs Profile'!B8</f>
        <v>0.1108</v>
      </c>
      <c r="I113" s="54">
        <f>'Region Needs Profile'!C8</f>
        <v>32</v>
      </c>
      <c r="J113" s="55">
        <f>'Region Needs Profile'!P8</f>
        <v>86.269915651358943</v>
      </c>
      <c r="K113" s="51" t="str">
        <f>IF($F113&gt;=PERCENTILE($F$6:$F$138,0.75),"High",IF($F113&gt;=PERCENTILE($F$6:$F$138,0.4),"Moderate","Low"))</f>
        <v>High</v>
      </c>
      <c r="L113" s="51" t="str">
        <f>IF($J113&gt;=40,"New build / PPEA",IF($J113&lt;=-40,IF($K113="Low","Retrofit + state stack","Retrofit / ESPC"),IF($K113="High","Blended programme","Selective retrofit")))</f>
        <v>New build / PPEA</v>
      </c>
      <c r="M113" s="51" t="str">
        <f>IF($L113="New build / PPEA","Levy-backed debt + PPEA availability payment + SCAP 10%",IF($L113="Retrofit + state stack","SCAP 20-30% + Literary Fund + levy + guaranteed savings",IF($L113="Retrofit / ESPC","Levy + guaranteed savings + VPSA pooled bond",IF($L113="Blended programme","Levy-backed debt + ESPC on the retained estate","SCAP + Literary Fund + guaranteed savings"))))</f>
        <v>Levy-backed debt + PPEA availability payment + SCAP 10%</v>
      </c>
      <c r="N113" s="35">
        <f>IF(OR($L113="Retrofit / ESPC",$L113="Retrofit + state stack"),$B$142,IF($L113="New build / PPEA",$B$144,$B$143))</f>
        <v>0.45</v>
      </c>
      <c r="O113" s="35">
        <f>IF($D113="On Nov 2026 ballot",$B$145,IF($D113="Levying since 2020-23",$B$147,IF($D113="Deferred, eyeing 2027",$B$148,$B$146)))</f>
        <v>0.55000000000000004</v>
      </c>
      <c r="P113" s="34" t="str">
        <f>IF($E113=0,"",($F113/MAX($F$6:$F$138))^0.38*100*$N113*$O113)</f>
        <v/>
      </c>
      <c r="Q113" s="48" t="str">
        <f>IF($E113=0,"","P"&amp;MIN(4,ROUNDUP(RANK($P113,$P$6:$P$138)/COUNT($P$6:$P$138)*4,0)))</f>
        <v/>
      </c>
      <c r="R113" s="3" t="str">
        <f>IF($D113="On Nov 2026 ballot","Wave 1 - position before the vote",IF($D113="Deferred, eyeing 2027","Wave 3 - 2027 referendum cycle",IF($D113="Levying since 2020-23","Wave 2 - next phase / displace incumbent","Wave 1 - VERIFY referendum status first")))</f>
        <v>Wave 3 - 2027 referendum cycle</v>
      </c>
      <c r="S113" s="3" t="str">
        <f>IF($L113="Retrofit + state stack","SCAP application support + no-cost condition assessment",IF($L113="Retrofit / ESPC","No-cost facility condition assessment",IF($L113="New build / PPEA","PPEA concept + capital sequencing review",IF($L113="Blended programme","Capital programme structuring review","Targeted HVAC and roof scope review"))))</f>
        <v>PPEA concept + capital sequencing review</v>
      </c>
      <c r="T113" s="49"/>
      <c r="U113" s="49"/>
    </row>
    <row r="114" spans="1:21">
      <c r="A114" s="22" t="str">
        <f>'Opportunity Model'!A114</f>
        <v>Galax City</v>
      </c>
      <c r="B114" s="22" t="str">
        <f>'Opportunity Model'!B114</f>
        <v>City</v>
      </c>
      <c r="C114" s="3" t="s">
        <v>350</v>
      </c>
      <c r="D114" s="22" t="str">
        <f>'Opportunity Model'!D114</f>
        <v>No public action found</v>
      </c>
      <c r="E114" s="22">
        <f>'Opportunity Model'!E114</f>
        <v>0</v>
      </c>
      <c r="F114" s="23">
        <f>'Opportunity Model'!G114</f>
        <v>111738141.3686703</v>
      </c>
      <c r="G114" s="23">
        <f>'Opportunity Model'!F114</f>
        <v>3673297.4918186972</v>
      </c>
      <c r="H114" s="45">
        <f>'Region Needs Profile'!B12</f>
        <v>-0.10009999999999999</v>
      </c>
      <c r="I114" s="46">
        <f>'Region Needs Profile'!C12</f>
        <v>58</v>
      </c>
      <c r="J114" s="47">
        <f>'Region Needs Profile'!P12</f>
        <v>-93.064667291471423</v>
      </c>
      <c r="K114" s="3" t="str">
        <f>IF($F114&gt;=PERCENTILE($F$6:$F$138,0.75),"High",IF($F114&gt;=PERCENTILE($F$6:$F$138,0.4),"Moderate","Low"))</f>
        <v>Moderate</v>
      </c>
      <c r="L114" s="3" t="str">
        <f>IF($J114&gt;=40,"New build / PPEA",IF($J114&lt;=-40,IF($K114="Low","Retrofit + state stack","Retrofit / ESPC"),IF($K114="High","Blended programme","Selective retrofit")))</f>
        <v>Retrofit / ESPC</v>
      </c>
      <c r="M114" s="3" t="str">
        <f>IF($L114="New build / PPEA","Levy-backed debt + PPEA availability payment + SCAP 10%",IF($L114="Retrofit + state stack","SCAP 20-30% + Literary Fund + levy + guaranteed savings",IF($L114="Retrofit / ESPC","Levy + guaranteed savings + VPSA pooled bond",IF($L114="Blended programme","Levy-backed debt + ESPC on the retained estate","SCAP + Literary Fund + guaranteed savings"))))</f>
        <v>Levy + guaranteed savings + VPSA pooled bond</v>
      </c>
      <c r="N114" s="35">
        <f>IF(OR($L114="Retrofit / ESPC",$L114="Retrofit + state stack"),$B$142,IF($L114="New build / PPEA",$B$144,$B$143))</f>
        <v>1</v>
      </c>
      <c r="O114" s="35">
        <f>IF($D114="On Nov 2026 ballot",$B$145,IF($D114="Levying since 2020-23",$B$147,IF($D114="Deferred, eyeing 2027",$B$148,$B$146)))</f>
        <v>0.8</v>
      </c>
      <c r="P114" s="34" t="str">
        <f>IF($E114=0,"",($F114/MAX($F$6:$F$138))^0.38*100*$N114*$O114)</f>
        <v/>
      </c>
      <c r="Q114" s="48" t="str">
        <f>IF($E114=0,"","P"&amp;MIN(4,ROUNDUP(RANK($P114,$P$6:$P$138)/COUNT($P$6:$P$138)*4,0)))</f>
        <v/>
      </c>
      <c r="R114" s="3" t="str">
        <f>IF($D114="On Nov 2026 ballot","Wave 1 - position before the vote",IF($D114="Deferred, eyeing 2027","Wave 3 - 2027 referendum cycle",IF($D114="Levying since 2020-23","Wave 2 - next phase / displace incumbent","Wave 1 - VERIFY referendum status first")))</f>
        <v>Wave 1 - VERIFY referendum status first</v>
      </c>
      <c r="S114" s="3" t="str">
        <f>IF($L114="Retrofit + state stack","SCAP application support + no-cost condition assessment",IF($L114="Retrofit / ESPC","No-cost facility condition assessment",IF($L114="New build / PPEA","PPEA concept + capital sequencing review",IF($L114="Blended programme","Capital programme structuring review","Targeted HVAC and roof scope review"))))</f>
        <v>No-cost facility condition assessment</v>
      </c>
      <c r="T114" s="49"/>
      <c r="U114" s="49"/>
    </row>
    <row r="115" spans="1:21">
      <c r="A115" s="50" t="str">
        <f>'Opportunity Model'!A115</f>
        <v>Hampton City</v>
      </c>
      <c r="B115" s="50" t="str">
        <f>'Opportunity Model'!B115</f>
        <v>City</v>
      </c>
      <c r="C115" s="51" t="s">
        <v>345</v>
      </c>
      <c r="D115" s="50" t="str">
        <f>'Opportunity Model'!D115</f>
        <v>No public action found</v>
      </c>
      <c r="E115" s="50">
        <f>'Opportunity Model'!E115</f>
        <v>0</v>
      </c>
      <c r="F115" s="52">
        <f>'Opportunity Model'!G115</f>
        <v>748973347.62658036</v>
      </c>
      <c r="G115" s="52">
        <f>'Opportunity Model'!F115</f>
        <v>25638899.702790972</v>
      </c>
      <c r="H115" s="53">
        <f>'Region Needs Profile'!B7</f>
        <v>1.43E-2</v>
      </c>
      <c r="I115" s="54">
        <f>'Region Needs Profile'!C7</f>
        <v>50</v>
      </c>
      <c r="J115" s="55">
        <f>'Region Needs Profile'!P7</f>
        <v>-8.3941601847190412</v>
      </c>
      <c r="K115" s="51" t="str">
        <f>IF($F115&gt;=PERCENTILE($F$6:$F$138,0.75),"High",IF($F115&gt;=PERCENTILE($F$6:$F$138,0.4),"Moderate","Low"))</f>
        <v>High</v>
      </c>
      <c r="L115" s="51" t="str">
        <f>IF($J115&gt;=40,"New build / PPEA",IF($J115&lt;=-40,IF($K115="Low","Retrofit + state stack","Retrofit / ESPC"),IF($K115="High","Blended programme","Selective retrofit")))</f>
        <v>Blended programme</v>
      </c>
      <c r="M115" s="51" t="str">
        <f>IF($L115="New build / PPEA","Levy-backed debt + PPEA availability payment + SCAP 10%",IF($L115="Retrofit + state stack","SCAP 20-30% + Literary Fund + levy + guaranteed savings",IF($L115="Retrofit / ESPC","Levy + guaranteed savings + VPSA pooled bond",IF($L115="Blended programme","Levy-backed debt + ESPC on the retained estate","SCAP + Literary Fund + guaranteed savings"))))</f>
        <v>Levy-backed debt + ESPC on the retained estate</v>
      </c>
      <c r="N115" s="35">
        <f>IF(OR($L115="Retrofit / ESPC",$L115="Retrofit + state stack"),$B$142,IF($L115="New build / PPEA",$B$144,$B$143))</f>
        <v>0.7</v>
      </c>
      <c r="O115" s="35">
        <f>IF($D115="On Nov 2026 ballot",$B$145,IF($D115="Levying since 2020-23",$B$147,IF($D115="Deferred, eyeing 2027",$B$148,$B$146)))</f>
        <v>0.8</v>
      </c>
      <c r="P115" s="34" t="str">
        <f>IF($E115=0,"",($F115/MAX($F$6:$F$138))^0.38*100*$N115*$O115)</f>
        <v/>
      </c>
      <c r="Q115" s="48" t="str">
        <f>IF($E115=0,"","P"&amp;MIN(4,ROUNDUP(RANK($P115,$P$6:$P$138)/COUNT($P$6:$P$138)*4,0)))</f>
        <v/>
      </c>
      <c r="R115" s="3" t="str">
        <f>IF($D115="On Nov 2026 ballot","Wave 1 - position before the vote",IF($D115="Deferred, eyeing 2027","Wave 3 - 2027 referendum cycle",IF($D115="Levying since 2020-23","Wave 2 - next phase / displace incumbent","Wave 1 - VERIFY referendum status first")))</f>
        <v>Wave 1 - VERIFY referendum status first</v>
      </c>
      <c r="S115" s="3" t="str">
        <f>IF($L115="Retrofit + state stack","SCAP application support + no-cost condition assessment",IF($L115="Retrofit / ESPC","No-cost facility condition assessment",IF($L115="New build / PPEA","PPEA concept + capital sequencing review",IF($L115="Blended programme","Capital programme structuring review","Targeted HVAC and roof scope review"))))</f>
        <v>Capital programme structuring review</v>
      </c>
      <c r="T115" s="49"/>
      <c r="U115" s="49"/>
    </row>
    <row r="116" spans="1:21">
      <c r="A116" s="22" t="str">
        <f>'Opportunity Model'!A116</f>
        <v>Harrisonburg City</v>
      </c>
      <c r="B116" s="22" t="str">
        <f>'Opportunity Model'!B116</f>
        <v>City</v>
      </c>
      <c r="C116" s="3" t="s">
        <v>348</v>
      </c>
      <c r="D116" s="22" t="str">
        <f>'Opportunity Model'!D116</f>
        <v>No public action found</v>
      </c>
      <c r="E116" s="22">
        <f>'Opportunity Model'!E116</f>
        <v>0</v>
      </c>
      <c r="F116" s="23">
        <f>'Opportunity Model'!G116</f>
        <v>616474897.28935015</v>
      </c>
      <c r="G116" s="23">
        <f>'Opportunity Model'!F116</f>
        <v>20524030.429942142</v>
      </c>
      <c r="H116" s="45">
        <f>'Region Needs Profile'!B10</f>
        <v>3.0099999999999998E-2</v>
      </c>
      <c r="I116" s="46">
        <f>'Region Needs Profile'!C10</f>
        <v>55</v>
      </c>
      <c r="J116" s="47">
        <f>'Region Needs Profile'!P10</f>
        <v>10.405306444373188</v>
      </c>
      <c r="K116" s="3" t="str">
        <f>IF($F116&gt;=PERCENTILE($F$6:$F$138,0.75),"High",IF($F116&gt;=PERCENTILE($F$6:$F$138,0.4),"Moderate","Low"))</f>
        <v>High</v>
      </c>
      <c r="L116" s="3" t="str">
        <f>IF($J116&gt;=40,"New build / PPEA",IF($J116&lt;=-40,IF($K116="Low","Retrofit + state stack","Retrofit / ESPC"),IF($K116="High","Blended programme","Selective retrofit")))</f>
        <v>Blended programme</v>
      </c>
      <c r="M116" s="3" t="str">
        <f>IF($L116="New build / PPEA","Levy-backed debt + PPEA availability payment + SCAP 10%",IF($L116="Retrofit + state stack","SCAP 20-30% + Literary Fund + levy + guaranteed savings",IF($L116="Retrofit / ESPC","Levy + guaranteed savings + VPSA pooled bond",IF($L116="Blended programme","Levy-backed debt + ESPC on the retained estate","SCAP + Literary Fund + guaranteed savings"))))</f>
        <v>Levy-backed debt + ESPC on the retained estate</v>
      </c>
      <c r="N116" s="35">
        <f>IF(OR($L116="Retrofit / ESPC",$L116="Retrofit + state stack"),$B$142,IF($L116="New build / PPEA",$B$144,$B$143))</f>
        <v>0.7</v>
      </c>
      <c r="O116" s="35">
        <f>IF($D116="On Nov 2026 ballot",$B$145,IF($D116="Levying since 2020-23",$B$147,IF($D116="Deferred, eyeing 2027",$B$148,$B$146)))</f>
        <v>0.8</v>
      </c>
      <c r="P116" s="34" t="str">
        <f>IF($E116=0,"",($F116/MAX($F$6:$F$138))^0.38*100*$N116*$O116)</f>
        <v/>
      </c>
      <c r="Q116" s="48" t="str">
        <f>IF($E116=0,"","P"&amp;MIN(4,ROUNDUP(RANK($P116,$P$6:$P$138)/COUNT($P$6:$P$138)*4,0)))</f>
        <v/>
      </c>
      <c r="R116" s="3" t="str">
        <f>IF($D116="On Nov 2026 ballot","Wave 1 - position before the vote",IF($D116="Deferred, eyeing 2027","Wave 3 - 2027 referendum cycle",IF($D116="Levying since 2020-23","Wave 2 - next phase / displace incumbent","Wave 1 - VERIFY referendum status first")))</f>
        <v>Wave 1 - VERIFY referendum status first</v>
      </c>
      <c r="S116" s="3" t="str">
        <f>IF($L116="Retrofit + state stack","SCAP application support + no-cost condition assessment",IF($L116="Retrofit / ESPC","No-cost facility condition assessment",IF($L116="New build / PPEA","PPEA concept + capital sequencing review",IF($L116="Blended programme","Capital programme structuring review","Targeted HVAC and roof scope review"))))</f>
        <v>Capital programme structuring review</v>
      </c>
      <c r="T116" s="49"/>
      <c r="U116" s="49"/>
    </row>
    <row r="117" spans="1:21">
      <c r="A117" s="50" t="str">
        <f>'Opportunity Model'!A117</f>
        <v>Hopewell City</v>
      </c>
      <c r="B117" s="50" t="str">
        <f>'Opportunity Model'!B117</f>
        <v>City</v>
      </c>
      <c r="C117" s="51" t="s">
        <v>344</v>
      </c>
      <c r="D117" s="50" t="str">
        <f>'Opportunity Model'!D117</f>
        <v>No public action found</v>
      </c>
      <c r="E117" s="50">
        <f>'Opportunity Model'!E117</f>
        <v>0</v>
      </c>
      <c r="F117" s="52">
        <f>'Opportunity Model'!G117</f>
        <v>84492870.050516874</v>
      </c>
      <c r="G117" s="52">
        <f>'Opportunity Model'!F117</f>
        <v>3027868.0758456178</v>
      </c>
      <c r="H117" s="53">
        <f>'Region Needs Profile'!B6</f>
        <v>5.8400000000000001E-2</v>
      </c>
      <c r="I117" s="54">
        <f>'Region Needs Profile'!C6</f>
        <v>50</v>
      </c>
      <c r="J117" s="55">
        <f>'Region Needs Profile'!P6</f>
        <v>20.904227632388256</v>
      </c>
      <c r="K117" s="51" t="str">
        <f>IF($F117&gt;=PERCENTILE($F$6:$F$138,0.75),"High",IF($F117&gt;=PERCENTILE($F$6:$F$138,0.4),"Moderate","Low"))</f>
        <v>Low</v>
      </c>
      <c r="L117" s="51" t="str">
        <f>IF($J117&gt;=40,"New build / PPEA",IF($J117&lt;=-40,IF($K117="Low","Retrofit + state stack","Retrofit / ESPC"),IF($K117="High","Blended programme","Selective retrofit")))</f>
        <v>Selective retrofit</v>
      </c>
      <c r="M117" s="51" t="str">
        <f>IF($L117="New build / PPEA","Levy-backed debt + PPEA availability payment + SCAP 10%",IF($L117="Retrofit + state stack","SCAP 20-30% + Literary Fund + levy + guaranteed savings",IF($L117="Retrofit / ESPC","Levy + guaranteed savings + VPSA pooled bond",IF($L117="Blended programme","Levy-backed debt + ESPC on the retained estate","SCAP + Literary Fund + guaranteed savings"))))</f>
        <v>SCAP + Literary Fund + guaranteed savings</v>
      </c>
      <c r="N117" s="35">
        <f>IF(OR($L117="Retrofit / ESPC",$L117="Retrofit + state stack"),$B$142,IF($L117="New build / PPEA",$B$144,$B$143))</f>
        <v>0.7</v>
      </c>
      <c r="O117" s="35">
        <f>IF($D117="On Nov 2026 ballot",$B$145,IF($D117="Levying since 2020-23",$B$147,IF($D117="Deferred, eyeing 2027",$B$148,$B$146)))</f>
        <v>0.8</v>
      </c>
      <c r="P117" s="34" t="str">
        <f>IF($E117=0,"",($F117/MAX($F$6:$F$138))^0.38*100*$N117*$O117)</f>
        <v/>
      </c>
      <c r="Q117" s="48" t="str">
        <f>IF($E117=0,"","P"&amp;MIN(4,ROUNDUP(RANK($P117,$P$6:$P$138)/COUNT($P$6:$P$138)*4,0)))</f>
        <v/>
      </c>
      <c r="R117" s="3" t="str">
        <f>IF($D117="On Nov 2026 ballot","Wave 1 - position before the vote",IF($D117="Deferred, eyeing 2027","Wave 3 - 2027 referendum cycle",IF($D117="Levying since 2020-23","Wave 2 - next phase / displace incumbent","Wave 1 - VERIFY referendum status first")))</f>
        <v>Wave 1 - VERIFY referendum status first</v>
      </c>
      <c r="S117" s="3" t="str">
        <f>IF($L117="Retrofit + state stack","SCAP application support + no-cost condition assessment",IF($L117="Retrofit / ESPC","No-cost facility condition assessment",IF($L117="New build / PPEA","PPEA concept + capital sequencing review",IF($L117="Blended programme","Capital programme structuring review","Targeted HVAC and roof scope review"))))</f>
        <v>Targeted HVAC and roof scope review</v>
      </c>
      <c r="T117" s="49"/>
      <c r="U117" s="49"/>
    </row>
    <row r="118" spans="1:21">
      <c r="A118" s="22" t="str">
        <f>'Opportunity Model'!A118</f>
        <v>Lexington City</v>
      </c>
      <c r="B118" s="22" t="str">
        <f>'Opportunity Model'!B118</f>
        <v>City</v>
      </c>
      <c r="C118" s="3" t="s">
        <v>348</v>
      </c>
      <c r="D118" s="22" t="str">
        <f>'Opportunity Model'!D118</f>
        <v>No public action found</v>
      </c>
      <c r="E118" s="22">
        <f>'Opportunity Model'!E118</f>
        <v>0</v>
      </c>
      <c r="F118" s="23">
        <f>'Opportunity Model'!G118</f>
        <v>41848331.419759244</v>
      </c>
      <c r="G118" s="23">
        <f>'Opportunity Model'!F118</f>
        <v>1512398.8054677385</v>
      </c>
      <c r="H118" s="45">
        <f>'Region Needs Profile'!B10</f>
        <v>3.0099999999999998E-2</v>
      </c>
      <c r="I118" s="46">
        <f>'Region Needs Profile'!C10</f>
        <v>55</v>
      </c>
      <c r="J118" s="47">
        <f>'Region Needs Profile'!P10</f>
        <v>10.405306444373188</v>
      </c>
      <c r="K118" s="3" t="str">
        <f>IF($F118&gt;=PERCENTILE($F$6:$F$138,0.75),"High",IF($F118&gt;=PERCENTILE($F$6:$F$138,0.4),"Moderate","Low"))</f>
        <v>Low</v>
      </c>
      <c r="L118" s="3" t="str">
        <f>IF($J118&gt;=40,"New build / PPEA",IF($J118&lt;=-40,IF($K118="Low","Retrofit + state stack","Retrofit / ESPC"),IF($K118="High","Blended programme","Selective retrofit")))</f>
        <v>Selective retrofit</v>
      </c>
      <c r="M118" s="3" t="str">
        <f>IF($L118="New build / PPEA","Levy-backed debt + PPEA availability payment + SCAP 10%",IF($L118="Retrofit + state stack","SCAP 20-30% + Literary Fund + levy + guaranteed savings",IF($L118="Retrofit / ESPC","Levy + guaranteed savings + VPSA pooled bond",IF($L118="Blended programme","Levy-backed debt + ESPC on the retained estate","SCAP + Literary Fund + guaranteed savings"))))</f>
        <v>SCAP + Literary Fund + guaranteed savings</v>
      </c>
      <c r="N118" s="35">
        <f>IF(OR($L118="Retrofit / ESPC",$L118="Retrofit + state stack"),$B$142,IF($L118="New build / PPEA",$B$144,$B$143))</f>
        <v>0.7</v>
      </c>
      <c r="O118" s="35">
        <f>IF($D118="On Nov 2026 ballot",$B$145,IF($D118="Levying since 2020-23",$B$147,IF($D118="Deferred, eyeing 2027",$B$148,$B$146)))</f>
        <v>0.8</v>
      </c>
      <c r="P118" s="34" t="str">
        <f>IF($E118=0,"",($F118/MAX($F$6:$F$138))^0.38*100*$N118*$O118)</f>
        <v/>
      </c>
      <c r="Q118" s="48" t="str">
        <f>IF($E118=0,"","P"&amp;MIN(4,ROUNDUP(RANK($P118,$P$6:$P$138)/COUNT($P$6:$P$138)*4,0)))</f>
        <v/>
      </c>
      <c r="R118" s="3" t="str">
        <f>IF($D118="On Nov 2026 ballot","Wave 1 - position before the vote",IF($D118="Deferred, eyeing 2027","Wave 3 - 2027 referendum cycle",IF($D118="Levying since 2020-23","Wave 2 - next phase / displace incumbent","Wave 1 - VERIFY referendum status first")))</f>
        <v>Wave 1 - VERIFY referendum status first</v>
      </c>
      <c r="S118" s="3" t="str">
        <f>IF($L118="Retrofit + state stack","SCAP application support + no-cost condition assessment",IF($L118="Retrofit / ESPC","No-cost facility condition assessment",IF($L118="New build / PPEA","PPEA concept + capital sequencing review",IF($L118="Blended programme","Capital programme structuring review","Targeted HVAC and roof scope review"))))</f>
        <v>Targeted HVAC and roof scope review</v>
      </c>
      <c r="T118" s="49"/>
      <c r="U118" s="49"/>
    </row>
    <row r="119" spans="1:21">
      <c r="A119" s="50" t="str">
        <f>'Opportunity Model'!A119</f>
        <v>Lynchburg City</v>
      </c>
      <c r="B119" s="50" t="str">
        <f>'Opportunity Model'!B119</f>
        <v>City</v>
      </c>
      <c r="C119" s="51" t="s">
        <v>349</v>
      </c>
      <c r="D119" s="50" t="str">
        <f>'Opportunity Model'!D119</f>
        <v>No public action found</v>
      </c>
      <c r="E119" s="50">
        <f>'Opportunity Model'!E119</f>
        <v>0</v>
      </c>
      <c r="F119" s="52">
        <f>'Opportunity Model'!G119</f>
        <v>714802717.14019597</v>
      </c>
      <c r="G119" s="52">
        <f>'Opportunity Model'!F119</f>
        <v>24280489.174865149</v>
      </c>
      <c r="H119" s="53">
        <f>'Region Needs Profile'!B11</f>
        <v>-6.7799999999999999E-2</v>
      </c>
      <c r="I119" s="54">
        <f>'Region Needs Profile'!C11</f>
        <v>58</v>
      </c>
      <c r="J119" s="55">
        <f>'Region Needs Profile'!P11</f>
        <v>-65.331357599398828</v>
      </c>
      <c r="K119" s="51" t="str">
        <f>IF($F119&gt;=PERCENTILE($F$6:$F$138,0.75),"High",IF($F119&gt;=PERCENTILE($F$6:$F$138,0.4),"Moderate","Low"))</f>
        <v>High</v>
      </c>
      <c r="L119" s="51" t="str">
        <f>IF($J119&gt;=40,"New build / PPEA",IF($J119&lt;=-40,IF($K119="Low","Retrofit + state stack","Retrofit / ESPC"),IF($K119="High","Blended programme","Selective retrofit")))</f>
        <v>Retrofit / ESPC</v>
      </c>
      <c r="M119" s="51" t="str">
        <f>IF($L119="New build / PPEA","Levy-backed debt + PPEA availability payment + SCAP 10%",IF($L119="Retrofit + state stack","SCAP 20-30% + Literary Fund + levy + guaranteed savings",IF($L119="Retrofit / ESPC","Levy + guaranteed savings + VPSA pooled bond",IF($L119="Blended programme","Levy-backed debt + ESPC on the retained estate","SCAP + Literary Fund + guaranteed savings"))))</f>
        <v>Levy + guaranteed savings + VPSA pooled bond</v>
      </c>
      <c r="N119" s="35">
        <f>IF(OR($L119="Retrofit / ESPC",$L119="Retrofit + state stack"),$B$142,IF($L119="New build / PPEA",$B$144,$B$143))</f>
        <v>1</v>
      </c>
      <c r="O119" s="35">
        <f>IF($D119="On Nov 2026 ballot",$B$145,IF($D119="Levying since 2020-23",$B$147,IF($D119="Deferred, eyeing 2027",$B$148,$B$146)))</f>
        <v>0.8</v>
      </c>
      <c r="P119" s="34" t="str">
        <f>IF($E119=0,"",($F119/MAX($F$6:$F$138))^0.38*100*$N119*$O119)</f>
        <v/>
      </c>
      <c r="Q119" s="48" t="str">
        <f>IF($E119=0,"","P"&amp;MIN(4,ROUNDUP(RANK($P119,$P$6:$P$138)/COUNT($P$6:$P$138)*4,0)))</f>
        <v/>
      </c>
      <c r="R119" s="3" t="str">
        <f>IF($D119="On Nov 2026 ballot","Wave 1 - position before the vote",IF($D119="Deferred, eyeing 2027","Wave 3 - 2027 referendum cycle",IF($D119="Levying since 2020-23","Wave 2 - next phase / displace incumbent","Wave 1 - VERIFY referendum status first")))</f>
        <v>Wave 1 - VERIFY referendum status first</v>
      </c>
      <c r="S119" s="3" t="str">
        <f>IF($L119="Retrofit + state stack","SCAP application support + no-cost condition assessment",IF($L119="Retrofit / ESPC","No-cost facility condition assessment",IF($L119="New build / PPEA","PPEA concept + capital sequencing review",IF($L119="Blended programme","Capital programme structuring review","Targeted HVAC and roof scope review"))))</f>
        <v>No-cost facility condition assessment</v>
      </c>
      <c r="T119" s="49"/>
      <c r="U119" s="49"/>
    </row>
    <row r="120" spans="1:21">
      <c r="A120" s="22" t="str">
        <f>'Opportunity Model'!A120</f>
        <v>Manassas City</v>
      </c>
      <c r="B120" s="22" t="str">
        <f>'Opportunity Model'!B120</f>
        <v>City</v>
      </c>
      <c r="C120" s="3" t="s">
        <v>347</v>
      </c>
      <c r="D120" s="22" t="str">
        <f>'Opportunity Model'!D120</f>
        <v>No public action found</v>
      </c>
      <c r="E120" s="22">
        <f>'Opportunity Model'!E120</f>
        <v>0</v>
      </c>
      <c r="F120" s="23">
        <f>'Opportunity Model'!G120</f>
        <v>573256886.84637976</v>
      </c>
      <c r="G120" s="23">
        <f>'Opportunity Model'!F120</f>
        <v>16478607.502681417</v>
      </c>
      <c r="H120" s="45">
        <f>'Region Needs Profile'!B9</f>
        <v>7.9399999999999998E-2</v>
      </c>
      <c r="I120" s="46">
        <f>'Region Needs Profile'!C9</f>
        <v>48</v>
      </c>
      <c r="J120" s="47">
        <f>'Region Needs Profile'!P9</f>
        <v>54.342196447459614</v>
      </c>
      <c r="K120" s="3" t="str">
        <f>IF($F120&gt;=PERCENTILE($F$6:$F$138,0.75),"High",IF($F120&gt;=PERCENTILE($F$6:$F$138,0.4),"Moderate","Low"))</f>
        <v>High</v>
      </c>
      <c r="L120" s="3" t="str">
        <f>IF($J120&gt;=40,"New build / PPEA",IF($J120&lt;=-40,IF($K120="Low","Retrofit + state stack","Retrofit / ESPC"),IF($K120="High","Blended programme","Selective retrofit")))</f>
        <v>New build / PPEA</v>
      </c>
      <c r="M120" s="3" t="str">
        <f>IF($L120="New build / PPEA","Levy-backed debt + PPEA availability payment + SCAP 10%",IF($L120="Retrofit + state stack","SCAP 20-30% + Literary Fund + levy + guaranteed savings",IF($L120="Retrofit / ESPC","Levy + guaranteed savings + VPSA pooled bond",IF($L120="Blended programme","Levy-backed debt + ESPC on the retained estate","SCAP + Literary Fund + guaranteed savings"))))</f>
        <v>Levy-backed debt + PPEA availability payment + SCAP 10%</v>
      </c>
      <c r="N120" s="35">
        <f>IF(OR($L120="Retrofit / ESPC",$L120="Retrofit + state stack"),$B$142,IF($L120="New build / PPEA",$B$144,$B$143))</f>
        <v>0.45</v>
      </c>
      <c r="O120" s="35">
        <f>IF($D120="On Nov 2026 ballot",$B$145,IF($D120="Levying since 2020-23",$B$147,IF($D120="Deferred, eyeing 2027",$B$148,$B$146)))</f>
        <v>0.8</v>
      </c>
      <c r="P120" s="34" t="str">
        <f>IF($E120=0,"",($F120/MAX($F$6:$F$138))^0.38*100*$N120*$O120)</f>
        <v/>
      </c>
      <c r="Q120" s="48" t="str">
        <f>IF($E120=0,"","P"&amp;MIN(4,ROUNDUP(RANK($P120,$P$6:$P$138)/COUNT($P$6:$P$138)*4,0)))</f>
        <v/>
      </c>
      <c r="R120" s="3" t="str">
        <f>IF($D120="On Nov 2026 ballot","Wave 1 - position before the vote",IF($D120="Deferred, eyeing 2027","Wave 3 - 2027 referendum cycle",IF($D120="Levying since 2020-23","Wave 2 - next phase / displace incumbent","Wave 1 - VERIFY referendum status first")))</f>
        <v>Wave 1 - VERIFY referendum status first</v>
      </c>
      <c r="S120" s="3" t="str">
        <f>IF($L120="Retrofit + state stack","SCAP application support + no-cost condition assessment",IF($L120="Retrofit / ESPC","No-cost facility condition assessment",IF($L120="New build / PPEA","PPEA concept + capital sequencing review",IF($L120="Blended programme","Capital programme structuring review","Targeted HVAC and roof scope review"))))</f>
        <v>PPEA concept + capital sequencing review</v>
      </c>
      <c r="T120" s="49"/>
      <c r="U120" s="49"/>
    </row>
    <row r="121" spans="1:21">
      <c r="A121" s="50" t="str">
        <f>'Opportunity Model'!A121</f>
        <v>Manassas Park City</v>
      </c>
      <c r="B121" s="50" t="str">
        <f>'Opportunity Model'!B121</f>
        <v>City</v>
      </c>
      <c r="C121" s="51" t="s">
        <v>347</v>
      </c>
      <c r="D121" s="50" t="str">
        <f>'Opportunity Model'!D121</f>
        <v>No public action found</v>
      </c>
      <c r="E121" s="50">
        <f>'Opportunity Model'!E121</f>
        <v>0</v>
      </c>
      <c r="F121" s="52">
        <f>'Opportunity Model'!G121</f>
        <v>79469999.973205015</v>
      </c>
      <c r="G121" s="52">
        <f>'Opportunity Model'!F121</f>
        <v>2852874.7580012185</v>
      </c>
      <c r="H121" s="53">
        <f>'Region Needs Profile'!B9</f>
        <v>7.9399999999999998E-2</v>
      </c>
      <c r="I121" s="54">
        <f>'Region Needs Profile'!C9</f>
        <v>48</v>
      </c>
      <c r="J121" s="55">
        <f>'Region Needs Profile'!P9</f>
        <v>54.342196447459614</v>
      </c>
      <c r="K121" s="51" t="str">
        <f>IF($F121&gt;=PERCENTILE($F$6:$F$138,0.75),"High",IF($F121&gt;=PERCENTILE($F$6:$F$138,0.4),"Moderate","Low"))</f>
        <v>Low</v>
      </c>
      <c r="L121" s="51" t="str">
        <f>IF($J121&gt;=40,"New build / PPEA",IF($J121&lt;=-40,IF($K121="Low","Retrofit + state stack","Retrofit / ESPC"),IF($K121="High","Blended programme","Selective retrofit")))</f>
        <v>New build / PPEA</v>
      </c>
      <c r="M121" s="51" t="str">
        <f>IF($L121="New build / PPEA","Levy-backed debt + PPEA availability payment + SCAP 10%",IF($L121="Retrofit + state stack","SCAP 20-30% + Literary Fund + levy + guaranteed savings",IF($L121="Retrofit / ESPC","Levy + guaranteed savings + VPSA pooled bond",IF($L121="Blended programme","Levy-backed debt + ESPC on the retained estate","SCAP + Literary Fund + guaranteed savings"))))</f>
        <v>Levy-backed debt + PPEA availability payment + SCAP 10%</v>
      </c>
      <c r="N121" s="35">
        <f>IF(OR($L121="Retrofit / ESPC",$L121="Retrofit + state stack"),$B$142,IF($L121="New build / PPEA",$B$144,$B$143))</f>
        <v>0.45</v>
      </c>
      <c r="O121" s="35">
        <f>IF($D121="On Nov 2026 ballot",$B$145,IF($D121="Levying since 2020-23",$B$147,IF($D121="Deferred, eyeing 2027",$B$148,$B$146)))</f>
        <v>0.8</v>
      </c>
      <c r="P121" s="34" t="str">
        <f>IF($E121=0,"",($F121/MAX($F$6:$F$138))^0.38*100*$N121*$O121)</f>
        <v/>
      </c>
      <c r="Q121" s="48" t="str">
        <f>IF($E121=0,"","P"&amp;MIN(4,ROUNDUP(RANK($P121,$P$6:$P$138)/COUNT($P$6:$P$138)*4,0)))</f>
        <v/>
      </c>
      <c r="R121" s="3" t="str">
        <f>IF($D121="On Nov 2026 ballot","Wave 1 - position before the vote",IF($D121="Deferred, eyeing 2027","Wave 3 - 2027 referendum cycle",IF($D121="Levying since 2020-23","Wave 2 - next phase / displace incumbent","Wave 1 - VERIFY referendum status first")))</f>
        <v>Wave 1 - VERIFY referendum status first</v>
      </c>
      <c r="S121" s="3" t="str">
        <f>IF($L121="Retrofit + state stack","SCAP application support + no-cost condition assessment",IF($L121="Retrofit / ESPC","No-cost facility condition assessment",IF($L121="New build / PPEA","PPEA concept + capital sequencing review",IF($L121="Blended programme","Capital programme structuring review","Targeted HVAC and roof scope review"))))</f>
        <v>PPEA concept + capital sequencing review</v>
      </c>
      <c r="T121" s="49"/>
      <c r="U121" s="49"/>
    </row>
    <row r="122" spans="1:21">
      <c r="A122" s="22" t="str">
        <f>'Opportunity Model'!A122</f>
        <v>Martinsville City</v>
      </c>
      <c r="B122" s="22" t="str">
        <f>'Opportunity Model'!B122</f>
        <v>City</v>
      </c>
      <c r="C122" s="3" t="s">
        <v>349</v>
      </c>
      <c r="D122" s="22" t="str">
        <f>'Opportunity Model'!D122</f>
        <v>On Nov 2026 ballot</v>
      </c>
      <c r="E122" s="22">
        <f>'Opportunity Model'!E122</f>
        <v>0</v>
      </c>
      <c r="F122" s="23">
        <f>'Opportunity Model'!G122</f>
        <v>79490312.974093646</v>
      </c>
      <c r="G122" s="23">
        <f>'Opportunity Model'!F122</f>
        <v>2848906.5619758144</v>
      </c>
      <c r="H122" s="45">
        <f>'Region Needs Profile'!B11</f>
        <v>-6.7799999999999999E-2</v>
      </c>
      <c r="I122" s="46">
        <f>'Region Needs Profile'!C11</f>
        <v>58</v>
      </c>
      <c r="J122" s="47">
        <f>'Region Needs Profile'!P11</f>
        <v>-65.331357599398828</v>
      </c>
      <c r="K122" s="3" t="str">
        <f>IF($F122&gt;=PERCENTILE($F$6:$F$138,0.75),"High",IF($F122&gt;=PERCENTILE($F$6:$F$138,0.4),"Moderate","Low"))</f>
        <v>Low</v>
      </c>
      <c r="L122" s="3" t="str">
        <f>IF($J122&gt;=40,"New build / PPEA",IF($J122&lt;=-40,IF($K122="Low","Retrofit + state stack","Retrofit / ESPC"),IF($K122="High","Blended programme","Selective retrofit")))</f>
        <v>Retrofit + state stack</v>
      </c>
      <c r="M122" s="3" t="str">
        <f>IF($L122="New build / PPEA","Levy-backed debt + PPEA availability payment + SCAP 10%",IF($L122="Retrofit + state stack","SCAP 20-30% + Literary Fund + levy + guaranteed savings",IF($L122="Retrofit / ESPC","Levy + guaranteed savings + VPSA pooled bond",IF($L122="Blended programme","Levy-backed debt + ESPC on the retained estate","SCAP + Literary Fund + guaranteed savings"))))</f>
        <v>SCAP 20-30% + Literary Fund + levy + guaranteed savings</v>
      </c>
      <c r="N122" s="35">
        <f>IF(OR($L122="Retrofit / ESPC",$L122="Retrofit + state stack"),$B$142,IF($L122="New build / PPEA",$B$144,$B$143))</f>
        <v>1</v>
      </c>
      <c r="O122" s="35">
        <f>IF($D122="On Nov 2026 ballot",$B$145,IF($D122="Levying since 2020-23",$B$147,IF($D122="Deferred, eyeing 2027",$B$148,$B$146)))</f>
        <v>1</v>
      </c>
      <c r="P122" s="34" t="str">
        <f>IF($E122=0,"",($F122/MAX($F$6:$F$138))^0.38*100*$N122*$O122)</f>
        <v/>
      </c>
      <c r="Q122" s="48" t="str">
        <f>IF($E122=0,"","P"&amp;MIN(4,ROUNDUP(RANK($P122,$P$6:$P$138)/COUNT($P$6:$P$138)*4,0)))</f>
        <v/>
      </c>
      <c r="R122" s="3" t="str">
        <f>IF($D122="On Nov 2026 ballot","Wave 1 - position before the vote",IF($D122="Deferred, eyeing 2027","Wave 3 - 2027 referendum cycle",IF($D122="Levying since 2020-23","Wave 2 - next phase / displace incumbent","Wave 1 - VERIFY referendum status first")))</f>
        <v>Wave 1 - position before the vote</v>
      </c>
      <c r="S122" s="3" t="str">
        <f>IF($L122="Retrofit + state stack","SCAP application support + no-cost condition assessment",IF($L122="Retrofit / ESPC","No-cost facility condition assessment",IF($L122="New build / PPEA","PPEA concept + capital sequencing review",IF($L122="Blended programme","Capital programme structuring review","Targeted HVAC and roof scope review"))))</f>
        <v>SCAP application support + no-cost condition assessment</v>
      </c>
      <c r="T122" s="49"/>
      <c r="U122" s="49"/>
    </row>
    <row r="123" spans="1:21">
      <c r="A123" s="50" t="str">
        <f>'Opportunity Model'!A123</f>
        <v>Newport News City</v>
      </c>
      <c r="B123" s="50" t="str">
        <f>'Opportunity Model'!B123</f>
        <v>City</v>
      </c>
      <c r="C123" s="51" t="s">
        <v>345</v>
      </c>
      <c r="D123" s="50" t="str">
        <f>'Opportunity Model'!D123</f>
        <v>No public action found</v>
      </c>
      <c r="E123" s="50">
        <f>'Opportunity Model'!E123</f>
        <v>0</v>
      </c>
      <c r="F123" s="52">
        <f>'Opportunity Model'!G123</f>
        <v>1114252067.8868651</v>
      </c>
      <c r="G123" s="52">
        <f>'Opportunity Model'!F123</f>
        <v>38641515.566006988</v>
      </c>
      <c r="H123" s="53">
        <f>'Region Needs Profile'!B7</f>
        <v>1.43E-2</v>
      </c>
      <c r="I123" s="54">
        <f>'Region Needs Profile'!C7</f>
        <v>50</v>
      </c>
      <c r="J123" s="55">
        <f>'Region Needs Profile'!P7</f>
        <v>-8.3941601847190412</v>
      </c>
      <c r="K123" s="51" t="str">
        <f>IF($F123&gt;=PERCENTILE($F$6:$F$138,0.75),"High",IF($F123&gt;=PERCENTILE($F$6:$F$138,0.4),"Moderate","Low"))</f>
        <v>High</v>
      </c>
      <c r="L123" s="51" t="str">
        <f>IF($J123&gt;=40,"New build / PPEA",IF($J123&lt;=-40,IF($K123="Low","Retrofit + state stack","Retrofit / ESPC"),IF($K123="High","Blended programme","Selective retrofit")))</f>
        <v>Blended programme</v>
      </c>
      <c r="M123" s="51" t="str">
        <f>IF($L123="New build / PPEA","Levy-backed debt + PPEA availability payment + SCAP 10%",IF($L123="Retrofit + state stack","SCAP 20-30% + Literary Fund + levy + guaranteed savings",IF($L123="Retrofit / ESPC","Levy + guaranteed savings + VPSA pooled bond",IF($L123="Blended programme","Levy-backed debt + ESPC on the retained estate","SCAP + Literary Fund + guaranteed savings"))))</f>
        <v>Levy-backed debt + ESPC on the retained estate</v>
      </c>
      <c r="N123" s="35">
        <f>IF(OR($L123="Retrofit / ESPC",$L123="Retrofit + state stack"),$B$142,IF($L123="New build / PPEA",$B$144,$B$143))</f>
        <v>0.7</v>
      </c>
      <c r="O123" s="35">
        <f>IF($D123="On Nov 2026 ballot",$B$145,IF($D123="Levying since 2020-23",$B$147,IF($D123="Deferred, eyeing 2027",$B$148,$B$146)))</f>
        <v>0.8</v>
      </c>
      <c r="P123" s="34" t="str">
        <f>IF($E123=0,"",($F123/MAX($F$6:$F$138))^0.38*100*$N123*$O123)</f>
        <v/>
      </c>
      <c r="Q123" s="48" t="str">
        <f>IF($E123=0,"","P"&amp;MIN(4,ROUNDUP(RANK($P123,$P$6:$P$138)/COUNT($P$6:$P$138)*4,0)))</f>
        <v/>
      </c>
      <c r="R123" s="3" t="str">
        <f>IF($D123="On Nov 2026 ballot","Wave 1 - position before the vote",IF($D123="Deferred, eyeing 2027","Wave 3 - 2027 referendum cycle",IF($D123="Levying since 2020-23","Wave 2 - next phase / displace incumbent","Wave 1 - VERIFY referendum status first")))</f>
        <v>Wave 1 - VERIFY referendum status first</v>
      </c>
      <c r="S123" s="3" t="str">
        <f>IF($L123="Retrofit + state stack","SCAP application support + no-cost condition assessment",IF($L123="Retrofit / ESPC","No-cost facility condition assessment",IF($L123="New build / PPEA","PPEA concept + capital sequencing review",IF($L123="Blended programme","Capital programme structuring review","Targeted HVAC and roof scope review"))))</f>
        <v>Capital programme structuring review</v>
      </c>
      <c r="T123" s="49"/>
      <c r="U123" s="49"/>
    </row>
    <row r="124" spans="1:21">
      <c r="A124" s="22" t="str">
        <f>'Opportunity Model'!A124</f>
        <v>Norfolk City</v>
      </c>
      <c r="B124" s="22" t="str">
        <f>'Opportunity Model'!B124</f>
        <v>City</v>
      </c>
      <c r="C124" s="3" t="s">
        <v>345</v>
      </c>
      <c r="D124" s="22" t="str">
        <f>'Opportunity Model'!D124</f>
        <v>No public action found</v>
      </c>
      <c r="E124" s="22">
        <f>'Opportunity Model'!E124</f>
        <v>0</v>
      </c>
      <c r="F124" s="23">
        <f>'Opportunity Model'!G124</f>
        <v>1519916108.9855554</v>
      </c>
      <c r="G124" s="23">
        <f>'Opportunity Model'!F124</f>
        <v>52176522.019253187</v>
      </c>
      <c r="H124" s="45">
        <f>'Region Needs Profile'!B7</f>
        <v>1.43E-2</v>
      </c>
      <c r="I124" s="46">
        <f>'Region Needs Profile'!C7</f>
        <v>50</v>
      </c>
      <c r="J124" s="47">
        <f>'Region Needs Profile'!P7</f>
        <v>-8.3941601847190412</v>
      </c>
      <c r="K124" s="3" t="str">
        <f>IF($F124&gt;=PERCENTILE($F$6:$F$138,0.75),"High",IF($F124&gt;=PERCENTILE($F$6:$F$138,0.4),"Moderate","Low"))</f>
        <v>High</v>
      </c>
      <c r="L124" s="3" t="str">
        <f>IF($J124&gt;=40,"New build / PPEA",IF($J124&lt;=-40,IF($K124="Low","Retrofit + state stack","Retrofit / ESPC"),IF($K124="High","Blended programme","Selective retrofit")))</f>
        <v>Blended programme</v>
      </c>
      <c r="M124" s="3" t="str">
        <f>IF($L124="New build / PPEA","Levy-backed debt + PPEA availability payment + SCAP 10%",IF($L124="Retrofit + state stack","SCAP 20-30% + Literary Fund + levy + guaranteed savings",IF($L124="Retrofit / ESPC","Levy + guaranteed savings + VPSA pooled bond",IF($L124="Blended programme","Levy-backed debt + ESPC on the retained estate","SCAP + Literary Fund + guaranteed savings"))))</f>
        <v>Levy-backed debt + ESPC on the retained estate</v>
      </c>
      <c r="N124" s="35">
        <f>IF(OR($L124="Retrofit / ESPC",$L124="Retrofit + state stack"),$B$142,IF($L124="New build / PPEA",$B$144,$B$143))</f>
        <v>0.7</v>
      </c>
      <c r="O124" s="35">
        <f>IF($D124="On Nov 2026 ballot",$B$145,IF($D124="Levying since 2020-23",$B$147,IF($D124="Deferred, eyeing 2027",$B$148,$B$146)))</f>
        <v>0.8</v>
      </c>
      <c r="P124" s="34" t="str">
        <f>IF($E124=0,"",($F124/MAX($F$6:$F$138))^0.38*100*$N124*$O124)</f>
        <v/>
      </c>
      <c r="Q124" s="48" t="str">
        <f>IF($E124=0,"","P"&amp;MIN(4,ROUNDUP(RANK($P124,$P$6:$P$138)/COUNT($P$6:$P$138)*4,0)))</f>
        <v/>
      </c>
      <c r="R124" s="3" t="str">
        <f>IF($D124="On Nov 2026 ballot","Wave 1 - position before the vote",IF($D124="Deferred, eyeing 2027","Wave 3 - 2027 referendum cycle",IF($D124="Levying since 2020-23","Wave 2 - next phase / displace incumbent","Wave 1 - VERIFY referendum status first")))</f>
        <v>Wave 1 - VERIFY referendum status first</v>
      </c>
      <c r="S124" s="3" t="str">
        <f>IF($L124="Retrofit + state stack","SCAP application support + no-cost condition assessment",IF($L124="Retrofit / ESPC","No-cost facility condition assessment",IF($L124="New build / PPEA","PPEA concept + capital sequencing review",IF($L124="Blended programme","Capital programme structuring review","Targeted HVAC and roof scope review"))))</f>
        <v>Capital programme structuring review</v>
      </c>
      <c r="T124" s="49"/>
      <c r="U124" s="49"/>
    </row>
    <row r="125" spans="1:21">
      <c r="A125" s="50" t="str">
        <f>'Opportunity Model'!A125</f>
        <v>Norton City</v>
      </c>
      <c r="B125" s="50" t="str">
        <f>'Opportunity Model'!B125</f>
        <v>City</v>
      </c>
      <c r="C125" s="51" t="s">
        <v>350</v>
      </c>
      <c r="D125" s="50" t="str">
        <f>'Opportunity Model'!D125</f>
        <v>No public action found</v>
      </c>
      <c r="E125" s="50">
        <f>'Opportunity Model'!E125</f>
        <v>0</v>
      </c>
      <c r="F125" s="52">
        <f>'Opportunity Model'!G125</f>
        <v>79512270.374009788</v>
      </c>
      <c r="G125" s="52">
        <f>'Opportunity Model'!F125</f>
        <v>2550572.4242160725</v>
      </c>
      <c r="H125" s="53">
        <f>'Region Needs Profile'!B12</f>
        <v>-0.10009999999999999</v>
      </c>
      <c r="I125" s="54">
        <f>'Region Needs Profile'!C12</f>
        <v>58</v>
      </c>
      <c r="J125" s="55">
        <f>'Region Needs Profile'!P12</f>
        <v>-93.064667291471423</v>
      </c>
      <c r="K125" s="51" t="str">
        <f>IF($F125&gt;=PERCENTILE($F$6:$F$138,0.75),"High",IF($F125&gt;=PERCENTILE($F$6:$F$138,0.4),"Moderate","Low"))</f>
        <v>Low</v>
      </c>
      <c r="L125" s="51" t="str">
        <f>IF($J125&gt;=40,"New build / PPEA",IF($J125&lt;=-40,IF($K125="Low","Retrofit + state stack","Retrofit / ESPC"),IF($K125="High","Blended programme","Selective retrofit")))</f>
        <v>Retrofit + state stack</v>
      </c>
      <c r="M125" s="51" t="str">
        <f>IF($L125="New build / PPEA","Levy-backed debt + PPEA availability payment + SCAP 10%",IF($L125="Retrofit + state stack","SCAP 20-30% + Literary Fund + levy + guaranteed savings",IF($L125="Retrofit / ESPC","Levy + guaranteed savings + VPSA pooled bond",IF($L125="Blended programme","Levy-backed debt + ESPC on the retained estate","SCAP + Literary Fund + guaranteed savings"))))</f>
        <v>SCAP 20-30% + Literary Fund + levy + guaranteed savings</v>
      </c>
      <c r="N125" s="35">
        <f>IF(OR($L125="Retrofit / ESPC",$L125="Retrofit + state stack"),$B$142,IF($L125="New build / PPEA",$B$144,$B$143))</f>
        <v>1</v>
      </c>
      <c r="O125" s="35">
        <f>IF($D125="On Nov 2026 ballot",$B$145,IF($D125="Levying since 2020-23",$B$147,IF($D125="Deferred, eyeing 2027",$B$148,$B$146)))</f>
        <v>0.8</v>
      </c>
      <c r="P125" s="34" t="str">
        <f>IF($E125=0,"",($F125/MAX($F$6:$F$138))^0.38*100*$N125*$O125)</f>
        <v/>
      </c>
      <c r="Q125" s="48" t="str">
        <f>IF($E125=0,"","P"&amp;MIN(4,ROUNDUP(RANK($P125,$P$6:$P$138)/COUNT($P$6:$P$138)*4,0)))</f>
        <v/>
      </c>
      <c r="R125" s="3" t="str">
        <f>IF($D125="On Nov 2026 ballot","Wave 1 - position before the vote",IF($D125="Deferred, eyeing 2027","Wave 3 - 2027 referendum cycle",IF($D125="Levying since 2020-23","Wave 2 - next phase / displace incumbent","Wave 1 - VERIFY referendum status first")))</f>
        <v>Wave 1 - VERIFY referendum status first</v>
      </c>
      <c r="S125" s="3" t="str">
        <f>IF($L125="Retrofit + state stack","SCAP application support + no-cost condition assessment",IF($L125="Retrofit / ESPC","No-cost facility condition assessment",IF($L125="New build / PPEA","PPEA concept + capital sequencing review",IF($L125="Blended programme","Capital programme structuring review","Targeted HVAC and roof scope review"))))</f>
        <v>SCAP application support + no-cost condition assessment</v>
      </c>
      <c r="T125" s="49"/>
      <c r="U125" s="49"/>
    </row>
    <row r="126" spans="1:21">
      <c r="A126" s="22" t="str">
        <f>'Opportunity Model'!A126</f>
        <v>Petersburg City</v>
      </c>
      <c r="B126" s="22" t="str">
        <f>'Opportunity Model'!B126</f>
        <v>City</v>
      </c>
      <c r="C126" s="3" t="s">
        <v>344</v>
      </c>
      <c r="D126" s="22" t="str">
        <f>'Opportunity Model'!D126</f>
        <v>No public action found</v>
      </c>
      <c r="E126" s="22">
        <f>'Opportunity Model'!E126</f>
        <v>0</v>
      </c>
      <c r="F126" s="23">
        <f>'Opportunity Model'!G126</f>
        <v>183496788.19155943</v>
      </c>
      <c r="G126" s="23">
        <f>'Opportunity Model'!F126</f>
        <v>6200054.9242382115</v>
      </c>
      <c r="H126" s="45">
        <f>'Region Needs Profile'!B6</f>
        <v>5.8400000000000001E-2</v>
      </c>
      <c r="I126" s="46">
        <f>'Region Needs Profile'!C6</f>
        <v>50</v>
      </c>
      <c r="J126" s="47">
        <f>'Region Needs Profile'!P6</f>
        <v>20.904227632388256</v>
      </c>
      <c r="K126" s="3" t="str">
        <f>IF($F126&gt;=PERCENTILE($F$6:$F$138,0.75),"High",IF($F126&gt;=PERCENTILE($F$6:$F$138,0.4),"Moderate","Low"))</f>
        <v>Moderate</v>
      </c>
      <c r="L126" s="3" t="str">
        <f>IF($J126&gt;=40,"New build / PPEA",IF($J126&lt;=-40,IF($K126="Low","Retrofit + state stack","Retrofit / ESPC"),IF($K126="High","Blended programme","Selective retrofit")))</f>
        <v>Selective retrofit</v>
      </c>
      <c r="M126" s="3" t="str">
        <f>IF($L126="New build / PPEA","Levy-backed debt + PPEA availability payment + SCAP 10%",IF($L126="Retrofit + state stack","SCAP 20-30% + Literary Fund + levy + guaranteed savings",IF($L126="Retrofit / ESPC","Levy + guaranteed savings + VPSA pooled bond",IF($L126="Blended programme","Levy-backed debt + ESPC on the retained estate","SCAP + Literary Fund + guaranteed savings"))))</f>
        <v>SCAP + Literary Fund + guaranteed savings</v>
      </c>
      <c r="N126" s="35">
        <f>IF(OR($L126="Retrofit / ESPC",$L126="Retrofit + state stack"),$B$142,IF($L126="New build / PPEA",$B$144,$B$143))</f>
        <v>0.7</v>
      </c>
      <c r="O126" s="35">
        <f>IF($D126="On Nov 2026 ballot",$B$145,IF($D126="Levying since 2020-23",$B$147,IF($D126="Deferred, eyeing 2027",$B$148,$B$146)))</f>
        <v>0.8</v>
      </c>
      <c r="P126" s="34" t="str">
        <f>IF($E126=0,"",($F126/MAX($F$6:$F$138))^0.38*100*$N126*$O126)</f>
        <v/>
      </c>
      <c r="Q126" s="48" t="str">
        <f>IF($E126=0,"","P"&amp;MIN(4,ROUNDUP(RANK($P126,$P$6:$P$138)/COUNT($P$6:$P$138)*4,0)))</f>
        <v/>
      </c>
      <c r="R126" s="3" t="str">
        <f>IF($D126="On Nov 2026 ballot","Wave 1 - position before the vote",IF($D126="Deferred, eyeing 2027","Wave 3 - 2027 referendum cycle",IF($D126="Levying since 2020-23","Wave 2 - next phase / displace incumbent","Wave 1 - VERIFY referendum status first")))</f>
        <v>Wave 1 - VERIFY referendum status first</v>
      </c>
      <c r="S126" s="3" t="str">
        <f>IF($L126="Retrofit + state stack","SCAP application support + no-cost condition assessment",IF($L126="Retrofit / ESPC","No-cost facility condition assessment",IF($L126="New build / PPEA","PPEA concept + capital sequencing review",IF($L126="Blended programme","Capital programme structuring review","Targeted HVAC and roof scope review"))))</f>
        <v>Targeted HVAC and roof scope review</v>
      </c>
      <c r="T126" s="49"/>
      <c r="U126" s="49"/>
    </row>
    <row r="127" spans="1:21">
      <c r="A127" s="50" t="str">
        <f>'Opportunity Model'!A127</f>
        <v>Poquoson City</v>
      </c>
      <c r="B127" s="50" t="str">
        <f>'Opportunity Model'!B127</f>
        <v>City</v>
      </c>
      <c r="C127" s="51" t="s">
        <v>345</v>
      </c>
      <c r="D127" s="50" t="str">
        <f>'Opportunity Model'!D127</f>
        <v>No public action found</v>
      </c>
      <c r="E127" s="50">
        <f>'Opportunity Model'!E127</f>
        <v>0</v>
      </c>
      <c r="F127" s="52">
        <f>'Opportunity Model'!G127</f>
        <v>42970667.681590594</v>
      </c>
      <c r="G127" s="52">
        <f>'Opportunity Model'!F127</f>
        <v>1369848.615465363</v>
      </c>
      <c r="H127" s="53">
        <f>'Region Needs Profile'!B7</f>
        <v>1.43E-2</v>
      </c>
      <c r="I127" s="54">
        <f>'Region Needs Profile'!C7</f>
        <v>50</v>
      </c>
      <c r="J127" s="55">
        <f>'Region Needs Profile'!P7</f>
        <v>-8.3941601847190412</v>
      </c>
      <c r="K127" s="51" t="str">
        <f>IF($F127&gt;=PERCENTILE($F$6:$F$138,0.75),"High",IF($F127&gt;=PERCENTILE($F$6:$F$138,0.4),"Moderate","Low"))</f>
        <v>Low</v>
      </c>
      <c r="L127" s="51" t="str">
        <f>IF($J127&gt;=40,"New build / PPEA",IF($J127&lt;=-40,IF($K127="Low","Retrofit + state stack","Retrofit / ESPC"),IF($K127="High","Blended programme","Selective retrofit")))</f>
        <v>Selective retrofit</v>
      </c>
      <c r="M127" s="51" t="str">
        <f>IF($L127="New build / PPEA","Levy-backed debt + PPEA availability payment + SCAP 10%",IF($L127="Retrofit + state stack","SCAP 20-30% + Literary Fund + levy + guaranteed savings",IF($L127="Retrofit / ESPC","Levy + guaranteed savings + VPSA pooled bond",IF($L127="Blended programme","Levy-backed debt + ESPC on the retained estate","SCAP + Literary Fund + guaranteed savings"))))</f>
        <v>SCAP + Literary Fund + guaranteed savings</v>
      </c>
      <c r="N127" s="35">
        <f>IF(OR($L127="Retrofit / ESPC",$L127="Retrofit + state stack"),$B$142,IF($L127="New build / PPEA",$B$144,$B$143))</f>
        <v>0.7</v>
      </c>
      <c r="O127" s="35">
        <f>IF($D127="On Nov 2026 ballot",$B$145,IF($D127="Levying since 2020-23",$B$147,IF($D127="Deferred, eyeing 2027",$B$148,$B$146)))</f>
        <v>0.8</v>
      </c>
      <c r="P127" s="34" t="str">
        <f>IF($E127=0,"",($F127/MAX($F$6:$F$138))^0.38*100*$N127*$O127)</f>
        <v/>
      </c>
      <c r="Q127" s="48" t="str">
        <f>IF($E127=0,"","P"&amp;MIN(4,ROUNDUP(RANK($P127,$P$6:$P$138)/COUNT($P$6:$P$138)*4,0)))</f>
        <v/>
      </c>
      <c r="R127" s="3" t="str">
        <f>IF($D127="On Nov 2026 ballot","Wave 1 - position before the vote",IF($D127="Deferred, eyeing 2027","Wave 3 - 2027 referendum cycle",IF($D127="Levying since 2020-23","Wave 2 - next phase / displace incumbent","Wave 1 - VERIFY referendum status first")))</f>
        <v>Wave 1 - VERIFY referendum status first</v>
      </c>
      <c r="S127" s="3" t="str">
        <f>IF($L127="Retrofit + state stack","SCAP application support + no-cost condition assessment",IF($L127="Retrofit / ESPC","No-cost facility condition assessment",IF($L127="New build / PPEA","PPEA concept + capital sequencing review",IF($L127="Blended programme","Capital programme structuring review","Targeted HVAC and roof scope review"))))</f>
        <v>Targeted HVAC and roof scope review</v>
      </c>
      <c r="T127" s="49"/>
      <c r="U127" s="49"/>
    </row>
    <row r="128" spans="1:21">
      <c r="A128" s="22" t="str">
        <f>'Opportunity Model'!A128</f>
        <v>Portsmouth City</v>
      </c>
      <c r="B128" s="22" t="str">
        <f>'Opportunity Model'!B128</f>
        <v>City</v>
      </c>
      <c r="C128" s="3" t="s">
        <v>345</v>
      </c>
      <c r="D128" s="22" t="str">
        <f>'Opportunity Model'!D128</f>
        <v>No public action found</v>
      </c>
      <c r="E128" s="22">
        <f>'Opportunity Model'!E128</f>
        <v>0</v>
      </c>
      <c r="F128" s="23">
        <f>'Opportunity Model'!G128</f>
        <v>418169670.96364874</v>
      </c>
      <c r="G128" s="23">
        <f>'Opportunity Model'!F128</f>
        <v>13845433.375318035</v>
      </c>
      <c r="H128" s="45">
        <f>'Region Needs Profile'!B7</f>
        <v>1.43E-2</v>
      </c>
      <c r="I128" s="46">
        <f>'Region Needs Profile'!C7</f>
        <v>50</v>
      </c>
      <c r="J128" s="47">
        <f>'Region Needs Profile'!P7</f>
        <v>-8.3941601847190412</v>
      </c>
      <c r="K128" s="3" t="str">
        <f>IF($F128&gt;=PERCENTILE($F$6:$F$138,0.75),"High",IF($F128&gt;=PERCENTILE($F$6:$F$138,0.4),"Moderate","Low"))</f>
        <v>High</v>
      </c>
      <c r="L128" s="3" t="str">
        <f>IF($J128&gt;=40,"New build / PPEA",IF($J128&lt;=-40,IF($K128="Low","Retrofit + state stack","Retrofit / ESPC"),IF($K128="High","Blended programme","Selective retrofit")))</f>
        <v>Blended programme</v>
      </c>
      <c r="M128" s="3" t="str">
        <f>IF($L128="New build / PPEA","Levy-backed debt + PPEA availability payment + SCAP 10%",IF($L128="Retrofit + state stack","SCAP 20-30% + Literary Fund + levy + guaranteed savings",IF($L128="Retrofit / ESPC","Levy + guaranteed savings + VPSA pooled bond",IF($L128="Blended programme","Levy-backed debt + ESPC on the retained estate","SCAP + Literary Fund + guaranteed savings"))))</f>
        <v>Levy-backed debt + ESPC on the retained estate</v>
      </c>
      <c r="N128" s="35">
        <f>IF(OR($L128="Retrofit / ESPC",$L128="Retrofit + state stack"),$B$142,IF($L128="New build / PPEA",$B$144,$B$143))</f>
        <v>0.7</v>
      </c>
      <c r="O128" s="35">
        <f>IF($D128="On Nov 2026 ballot",$B$145,IF($D128="Levying since 2020-23",$B$147,IF($D128="Deferred, eyeing 2027",$B$148,$B$146)))</f>
        <v>0.8</v>
      </c>
      <c r="P128" s="34" t="str">
        <f>IF($E128=0,"",($F128/MAX($F$6:$F$138))^0.38*100*$N128*$O128)</f>
        <v/>
      </c>
      <c r="Q128" s="48" t="str">
        <f>IF($E128=0,"","P"&amp;MIN(4,ROUNDUP(RANK($P128,$P$6:$P$138)/COUNT($P$6:$P$138)*4,0)))</f>
        <v/>
      </c>
      <c r="R128" s="3" t="str">
        <f>IF($D128="On Nov 2026 ballot","Wave 1 - position before the vote",IF($D128="Deferred, eyeing 2027","Wave 3 - 2027 referendum cycle",IF($D128="Levying since 2020-23","Wave 2 - next phase / displace incumbent","Wave 1 - VERIFY referendum status first")))</f>
        <v>Wave 1 - VERIFY referendum status first</v>
      </c>
      <c r="S128" s="3" t="str">
        <f>IF($L128="Retrofit + state stack","SCAP application support + no-cost condition assessment",IF($L128="Retrofit / ESPC","No-cost facility condition assessment",IF($L128="New build / PPEA","PPEA concept + capital sequencing review",IF($L128="Blended programme","Capital programme structuring review","Targeted HVAC and roof scope review"))))</f>
        <v>Capital programme structuring review</v>
      </c>
      <c r="T128" s="49"/>
      <c r="U128" s="49"/>
    </row>
    <row r="129" spans="1:21">
      <c r="A129" s="50" t="str">
        <f>'Opportunity Model'!A129</f>
        <v>Radford City</v>
      </c>
      <c r="B129" s="50" t="str">
        <f>'Opportunity Model'!B129</f>
        <v>City</v>
      </c>
      <c r="C129" s="51" t="s">
        <v>350</v>
      </c>
      <c r="D129" s="50" t="str">
        <f>'Opportunity Model'!D129</f>
        <v>No public action found</v>
      </c>
      <c r="E129" s="50">
        <f>'Opportunity Model'!E129</f>
        <v>0</v>
      </c>
      <c r="F129" s="52">
        <f>'Opportunity Model'!G129</f>
        <v>61611002.571277767</v>
      </c>
      <c r="G129" s="52">
        <f>'Opportunity Model'!F129</f>
        <v>1960817.4184634006</v>
      </c>
      <c r="H129" s="53">
        <f>'Region Needs Profile'!B12</f>
        <v>-0.10009999999999999</v>
      </c>
      <c r="I129" s="54">
        <f>'Region Needs Profile'!C12</f>
        <v>58</v>
      </c>
      <c r="J129" s="55">
        <f>'Region Needs Profile'!P12</f>
        <v>-93.064667291471423</v>
      </c>
      <c r="K129" s="51" t="str">
        <f>IF($F129&gt;=PERCENTILE($F$6:$F$138,0.75),"High",IF($F129&gt;=PERCENTILE($F$6:$F$138,0.4),"Moderate","Low"))</f>
        <v>Low</v>
      </c>
      <c r="L129" s="51" t="str">
        <f>IF($J129&gt;=40,"New build / PPEA",IF($J129&lt;=-40,IF($K129="Low","Retrofit + state stack","Retrofit / ESPC"),IF($K129="High","Blended programme","Selective retrofit")))</f>
        <v>Retrofit + state stack</v>
      </c>
      <c r="M129" s="51" t="str">
        <f>IF($L129="New build / PPEA","Levy-backed debt + PPEA availability payment + SCAP 10%",IF($L129="Retrofit + state stack","SCAP 20-30% + Literary Fund + levy + guaranteed savings",IF($L129="Retrofit / ESPC","Levy + guaranteed savings + VPSA pooled bond",IF($L129="Blended programme","Levy-backed debt + ESPC on the retained estate","SCAP + Literary Fund + guaranteed savings"))))</f>
        <v>SCAP 20-30% + Literary Fund + levy + guaranteed savings</v>
      </c>
      <c r="N129" s="35">
        <f>IF(OR($L129="Retrofit / ESPC",$L129="Retrofit + state stack"),$B$142,IF($L129="New build / PPEA",$B$144,$B$143))</f>
        <v>1</v>
      </c>
      <c r="O129" s="35">
        <f>IF($D129="On Nov 2026 ballot",$B$145,IF($D129="Levying since 2020-23",$B$147,IF($D129="Deferred, eyeing 2027",$B$148,$B$146)))</f>
        <v>0.8</v>
      </c>
      <c r="P129" s="34" t="str">
        <f>IF($E129=0,"",($F129/MAX($F$6:$F$138))^0.38*100*$N129*$O129)</f>
        <v/>
      </c>
      <c r="Q129" s="48" t="str">
        <f>IF($E129=0,"","P"&amp;MIN(4,ROUNDUP(RANK($P129,$P$6:$P$138)/COUNT($P$6:$P$138)*4,0)))</f>
        <v/>
      </c>
      <c r="R129" s="3" t="str">
        <f>IF($D129="On Nov 2026 ballot","Wave 1 - position before the vote",IF($D129="Deferred, eyeing 2027","Wave 3 - 2027 referendum cycle",IF($D129="Levying since 2020-23","Wave 2 - next phase / displace incumbent","Wave 1 - VERIFY referendum status first")))</f>
        <v>Wave 1 - VERIFY referendum status first</v>
      </c>
      <c r="S129" s="3" t="str">
        <f>IF($L129="Retrofit + state stack","SCAP application support + no-cost condition assessment",IF($L129="Retrofit / ESPC","No-cost facility condition assessment",IF($L129="New build / PPEA","PPEA concept + capital sequencing review",IF($L129="Blended programme","Capital programme structuring review","Targeted HVAC and roof scope review"))))</f>
        <v>SCAP application support + no-cost condition assessment</v>
      </c>
      <c r="T129" s="49"/>
      <c r="U129" s="49"/>
    </row>
    <row r="130" spans="1:21">
      <c r="A130" s="22" t="str">
        <f>'Opportunity Model'!A130</f>
        <v>Richmond City</v>
      </c>
      <c r="B130" s="22" t="str">
        <f>'Opportunity Model'!B130</f>
        <v>City</v>
      </c>
      <c r="C130" s="3" t="s">
        <v>344</v>
      </c>
      <c r="D130" s="22" t="str">
        <f>'Opportunity Model'!D130</f>
        <v>On Nov 2026 ballot</v>
      </c>
      <c r="E130" s="22">
        <f>'Opportunity Model'!E130</f>
        <v>0</v>
      </c>
      <c r="F130" s="23">
        <f>'Opportunity Model'!G130</f>
        <v>1751604665.5041502</v>
      </c>
      <c r="G130" s="23">
        <f>'Opportunity Model'!F130</f>
        <v>58675298.632158473</v>
      </c>
      <c r="H130" s="45">
        <f>'Region Needs Profile'!B6</f>
        <v>5.8400000000000001E-2</v>
      </c>
      <c r="I130" s="46">
        <f>'Region Needs Profile'!C6</f>
        <v>50</v>
      </c>
      <c r="J130" s="47">
        <f>'Region Needs Profile'!P6</f>
        <v>20.904227632388256</v>
      </c>
      <c r="K130" s="3" t="str">
        <f>IF($F130&gt;=PERCENTILE($F$6:$F$138,0.75),"High",IF($F130&gt;=PERCENTILE($F$6:$F$138,0.4),"Moderate","Low"))</f>
        <v>High</v>
      </c>
      <c r="L130" s="3" t="str">
        <f>IF($J130&gt;=40,"New build / PPEA",IF($J130&lt;=-40,IF($K130="Low","Retrofit + state stack","Retrofit / ESPC"),IF($K130="High","Blended programme","Selective retrofit")))</f>
        <v>Blended programme</v>
      </c>
      <c r="M130" s="3" t="str">
        <f>IF($L130="New build / PPEA","Levy-backed debt + PPEA availability payment + SCAP 10%",IF($L130="Retrofit + state stack","SCAP 20-30% + Literary Fund + levy + guaranteed savings",IF($L130="Retrofit / ESPC","Levy + guaranteed savings + VPSA pooled bond",IF($L130="Blended programme","Levy-backed debt + ESPC on the retained estate","SCAP + Literary Fund + guaranteed savings"))))</f>
        <v>Levy-backed debt + ESPC on the retained estate</v>
      </c>
      <c r="N130" s="35">
        <f>IF(OR($L130="Retrofit / ESPC",$L130="Retrofit + state stack"),$B$142,IF($L130="New build / PPEA",$B$144,$B$143))</f>
        <v>0.7</v>
      </c>
      <c r="O130" s="35">
        <f>IF($D130="On Nov 2026 ballot",$B$145,IF($D130="Levying since 2020-23",$B$147,IF($D130="Deferred, eyeing 2027",$B$148,$B$146)))</f>
        <v>1</v>
      </c>
      <c r="P130" s="34" t="str">
        <f>IF($E130=0,"",($F130/MAX($F$6:$F$138))^0.38*100*$N130*$O130)</f>
        <v/>
      </c>
      <c r="Q130" s="48" t="str">
        <f>IF($E130=0,"","P"&amp;MIN(4,ROUNDUP(RANK($P130,$P$6:$P$138)/COUNT($P$6:$P$138)*4,0)))</f>
        <v/>
      </c>
      <c r="R130" s="3" t="str">
        <f>IF($D130="On Nov 2026 ballot","Wave 1 - position before the vote",IF($D130="Deferred, eyeing 2027","Wave 3 - 2027 referendum cycle",IF($D130="Levying since 2020-23","Wave 2 - next phase / displace incumbent","Wave 1 - VERIFY referendum status first")))</f>
        <v>Wave 1 - position before the vote</v>
      </c>
      <c r="S130" s="3" t="str">
        <f>IF($L130="Retrofit + state stack","SCAP application support + no-cost condition assessment",IF($L130="Retrofit / ESPC","No-cost facility condition assessment",IF($L130="New build / PPEA","PPEA concept + capital sequencing review",IF($L130="Blended programme","Capital programme structuring review","Targeted HVAC and roof scope review"))))</f>
        <v>Capital programme structuring review</v>
      </c>
      <c r="T130" s="49"/>
      <c r="U130" s="49"/>
    </row>
    <row r="131" spans="1:21">
      <c r="A131" s="50" t="str">
        <f>'Opportunity Model'!A131</f>
        <v>Roanoke City</v>
      </c>
      <c r="B131" s="50" t="str">
        <f>'Opportunity Model'!B131</f>
        <v>City</v>
      </c>
      <c r="C131" s="51" t="s">
        <v>349</v>
      </c>
      <c r="D131" s="50" t="str">
        <f>'Opportunity Model'!D131</f>
        <v>No public action found</v>
      </c>
      <c r="E131" s="50">
        <f>'Opportunity Model'!E131</f>
        <v>0</v>
      </c>
      <c r="F131" s="52">
        <f>'Opportunity Model'!G131</f>
        <v>889650546.60593224</v>
      </c>
      <c r="G131" s="52">
        <f>'Opportunity Model'!F131</f>
        <v>31296024.454359155</v>
      </c>
      <c r="H131" s="53">
        <f>'Region Needs Profile'!B11</f>
        <v>-6.7799999999999999E-2</v>
      </c>
      <c r="I131" s="54">
        <f>'Region Needs Profile'!C11</f>
        <v>58</v>
      </c>
      <c r="J131" s="55">
        <f>'Region Needs Profile'!P11</f>
        <v>-65.331357599398828</v>
      </c>
      <c r="K131" s="51" t="str">
        <f>IF($F131&gt;=PERCENTILE($F$6:$F$138,0.75),"High",IF($F131&gt;=PERCENTILE($F$6:$F$138,0.4),"Moderate","Low"))</f>
        <v>High</v>
      </c>
      <c r="L131" s="51" t="str">
        <f>IF($J131&gt;=40,"New build / PPEA",IF($J131&lt;=-40,IF($K131="Low","Retrofit + state stack","Retrofit / ESPC"),IF($K131="High","Blended programme","Selective retrofit")))</f>
        <v>Retrofit / ESPC</v>
      </c>
      <c r="M131" s="51" t="str">
        <f>IF($L131="New build / PPEA","Levy-backed debt + PPEA availability payment + SCAP 10%",IF($L131="Retrofit + state stack","SCAP 20-30% + Literary Fund + levy + guaranteed savings",IF($L131="Retrofit / ESPC","Levy + guaranteed savings + VPSA pooled bond",IF($L131="Blended programme","Levy-backed debt + ESPC on the retained estate","SCAP + Literary Fund + guaranteed savings"))))</f>
        <v>Levy + guaranteed savings + VPSA pooled bond</v>
      </c>
      <c r="N131" s="35">
        <f>IF(OR($L131="Retrofit / ESPC",$L131="Retrofit + state stack"),$B$142,IF($L131="New build / PPEA",$B$144,$B$143))</f>
        <v>1</v>
      </c>
      <c r="O131" s="35">
        <f>IF($D131="On Nov 2026 ballot",$B$145,IF($D131="Levying since 2020-23",$B$147,IF($D131="Deferred, eyeing 2027",$B$148,$B$146)))</f>
        <v>0.8</v>
      </c>
      <c r="P131" s="34" t="str">
        <f>IF($E131=0,"",($F131/MAX($F$6:$F$138))^0.38*100*$N131*$O131)</f>
        <v/>
      </c>
      <c r="Q131" s="48" t="str">
        <f>IF($E131=0,"","P"&amp;MIN(4,ROUNDUP(RANK($P131,$P$6:$P$138)/COUNT($P$6:$P$138)*4,0)))</f>
        <v/>
      </c>
      <c r="R131" s="3" t="str">
        <f>IF($D131="On Nov 2026 ballot","Wave 1 - position before the vote",IF($D131="Deferred, eyeing 2027","Wave 3 - 2027 referendum cycle",IF($D131="Levying since 2020-23","Wave 2 - next phase / displace incumbent","Wave 1 - VERIFY referendum status first")))</f>
        <v>Wave 1 - VERIFY referendum status first</v>
      </c>
      <c r="S131" s="3" t="str">
        <f>IF($L131="Retrofit + state stack","SCAP application support + no-cost condition assessment",IF($L131="Retrofit / ESPC","No-cost facility condition assessment",IF($L131="New build / PPEA","PPEA concept + capital sequencing review",IF($L131="Blended programme","Capital programme structuring review","Targeted HVAC and roof scope review"))))</f>
        <v>No-cost facility condition assessment</v>
      </c>
      <c r="T131" s="49"/>
      <c r="U131" s="49"/>
    </row>
    <row r="132" spans="1:21">
      <c r="A132" s="22" t="str">
        <f>'Opportunity Model'!A132</f>
        <v>Salem City</v>
      </c>
      <c r="B132" s="22" t="str">
        <f>'Opportunity Model'!B132</f>
        <v>City</v>
      </c>
      <c r="C132" s="3" t="s">
        <v>349</v>
      </c>
      <c r="D132" s="22" t="str">
        <f>'Opportunity Model'!D132</f>
        <v>No public action found</v>
      </c>
      <c r="E132" s="22">
        <f>'Opportunity Model'!E132</f>
        <v>0</v>
      </c>
      <c r="F132" s="23">
        <f>'Opportunity Model'!G132</f>
        <v>306851519.21982938</v>
      </c>
      <c r="G132" s="23">
        <f>'Opportunity Model'!F132</f>
        <v>10637752.589647537</v>
      </c>
      <c r="H132" s="45">
        <f>'Region Needs Profile'!B11</f>
        <v>-6.7799999999999999E-2</v>
      </c>
      <c r="I132" s="46">
        <f>'Region Needs Profile'!C11</f>
        <v>58</v>
      </c>
      <c r="J132" s="47">
        <f>'Region Needs Profile'!P11</f>
        <v>-65.331357599398828</v>
      </c>
      <c r="K132" s="3" t="str">
        <f>IF($F132&gt;=PERCENTILE($F$6:$F$138,0.75),"High",IF($F132&gt;=PERCENTILE($F$6:$F$138,0.4),"Moderate","Low"))</f>
        <v>Moderate</v>
      </c>
      <c r="L132" s="3" t="str">
        <f>IF($J132&gt;=40,"New build / PPEA",IF($J132&lt;=-40,IF($K132="Low","Retrofit + state stack","Retrofit / ESPC"),IF($K132="High","Blended programme","Selective retrofit")))</f>
        <v>Retrofit / ESPC</v>
      </c>
      <c r="M132" s="3" t="str">
        <f>IF($L132="New build / PPEA","Levy-backed debt + PPEA availability payment + SCAP 10%",IF($L132="Retrofit + state stack","SCAP 20-30% + Literary Fund + levy + guaranteed savings",IF($L132="Retrofit / ESPC","Levy + guaranteed savings + VPSA pooled bond",IF($L132="Blended programme","Levy-backed debt + ESPC on the retained estate","SCAP + Literary Fund + guaranteed savings"))))</f>
        <v>Levy + guaranteed savings + VPSA pooled bond</v>
      </c>
      <c r="N132" s="35">
        <f>IF(OR($L132="Retrofit / ESPC",$L132="Retrofit + state stack"),$B$142,IF($L132="New build / PPEA",$B$144,$B$143))</f>
        <v>1</v>
      </c>
      <c r="O132" s="35">
        <f>IF($D132="On Nov 2026 ballot",$B$145,IF($D132="Levying since 2020-23",$B$147,IF($D132="Deferred, eyeing 2027",$B$148,$B$146)))</f>
        <v>0.8</v>
      </c>
      <c r="P132" s="34" t="str">
        <f>IF($E132=0,"",($F132/MAX($F$6:$F$138))^0.38*100*$N132*$O132)</f>
        <v/>
      </c>
      <c r="Q132" s="48" t="str">
        <f>IF($E132=0,"","P"&amp;MIN(4,ROUNDUP(RANK($P132,$P$6:$P$138)/COUNT($P$6:$P$138)*4,0)))</f>
        <v/>
      </c>
      <c r="R132" s="3" t="str">
        <f>IF($D132="On Nov 2026 ballot","Wave 1 - position before the vote",IF($D132="Deferred, eyeing 2027","Wave 3 - 2027 referendum cycle",IF($D132="Levying since 2020-23","Wave 2 - next phase / displace incumbent","Wave 1 - VERIFY referendum status first")))</f>
        <v>Wave 1 - VERIFY referendum status first</v>
      </c>
      <c r="S132" s="3" t="str">
        <f>IF($L132="Retrofit + state stack","SCAP application support + no-cost condition assessment",IF($L132="Retrofit / ESPC","No-cost facility condition assessment",IF($L132="New build / PPEA","PPEA concept + capital sequencing review",IF($L132="Blended programme","Capital programme structuring review","Targeted HVAC and roof scope review"))))</f>
        <v>No-cost facility condition assessment</v>
      </c>
      <c r="T132" s="49"/>
      <c r="U132" s="49"/>
    </row>
    <row r="133" spans="1:21">
      <c r="A133" s="50" t="str">
        <f>'Opportunity Model'!A133</f>
        <v>Staunton City</v>
      </c>
      <c r="B133" s="50" t="str">
        <f>'Opportunity Model'!B133</f>
        <v>City</v>
      </c>
      <c r="C133" s="51" t="s">
        <v>348</v>
      </c>
      <c r="D133" s="50" t="str">
        <f>'Opportunity Model'!D133</f>
        <v>No public action found</v>
      </c>
      <c r="E133" s="50">
        <f>'Opportunity Model'!E133</f>
        <v>0</v>
      </c>
      <c r="F133" s="52">
        <f>'Opportunity Model'!G133</f>
        <v>200094831.99238139</v>
      </c>
      <c r="G133" s="52">
        <f>'Opportunity Model'!F133</f>
        <v>6664561.0042495923</v>
      </c>
      <c r="H133" s="53">
        <f>'Region Needs Profile'!B10</f>
        <v>3.0099999999999998E-2</v>
      </c>
      <c r="I133" s="54">
        <f>'Region Needs Profile'!C10</f>
        <v>55</v>
      </c>
      <c r="J133" s="55">
        <f>'Region Needs Profile'!P10</f>
        <v>10.405306444373188</v>
      </c>
      <c r="K133" s="51" t="str">
        <f>IF($F133&gt;=PERCENTILE($F$6:$F$138,0.75),"High",IF($F133&gt;=PERCENTILE($F$6:$F$138,0.4),"Moderate","Low"))</f>
        <v>Moderate</v>
      </c>
      <c r="L133" s="51" t="str">
        <f>IF($J133&gt;=40,"New build / PPEA",IF($J133&lt;=-40,IF($K133="Low","Retrofit + state stack","Retrofit / ESPC"),IF($K133="High","Blended programme","Selective retrofit")))</f>
        <v>Selective retrofit</v>
      </c>
      <c r="M133" s="51" t="str">
        <f>IF($L133="New build / PPEA","Levy-backed debt + PPEA availability payment + SCAP 10%",IF($L133="Retrofit + state stack","SCAP 20-30% + Literary Fund + levy + guaranteed savings",IF($L133="Retrofit / ESPC","Levy + guaranteed savings + VPSA pooled bond",IF($L133="Blended programme","Levy-backed debt + ESPC on the retained estate","SCAP + Literary Fund + guaranteed savings"))))</f>
        <v>SCAP + Literary Fund + guaranteed savings</v>
      </c>
      <c r="N133" s="35">
        <f>IF(OR($L133="Retrofit / ESPC",$L133="Retrofit + state stack"),$B$142,IF($L133="New build / PPEA",$B$144,$B$143))</f>
        <v>0.7</v>
      </c>
      <c r="O133" s="35">
        <f>IF($D133="On Nov 2026 ballot",$B$145,IF($D133="Levying since 2020-23",$B$147,IF($D133="Deferred, eyeing 2027",$B$148,$B$146)))</f>
        <v>0.8</v>
      </c>
      <c r="P133" s="34" t="str">
        <f>IF($E133=0,"",($F133/MAX($F$6:$F$138))^0.38*100*$N133*$O133)</f>
        <v/>
      </c>
      <c r="Q133" s="48" t="str">
        <f>IF($E133=0,"","P"&amp;MIN(4,ROUNDUP(RANK($P133,$P$6:$P$138)/COUNT($P$6:$P$138)*4,0)))</f>
        <v/>
      </c>
      <c r="R133" s="3" t="str">
        <f>IF($D133="On Nov 2026 ballot","Wave 1 - position before the vote",IF($D133="Deferred, eyeing 2027","Wave 3 - 2027 referendum cycle",IF($D133="Levying since 2020-23","Wave 2 - next phase / displace incumbent","Wave 1 - VERIFY referendum status first")))</f>
        <v>Wave 1 - VERIFY referendum status first</v>
      </c>
      <c r="S133" s="3" t="str">
        <f>IF($L133="Retrofit + state stack","SCAP application support + no-cost condition assessment",IF($L133="Retrofit / ESPC","No-cost facility condition assessment",IF($L133="New build / PPEA","PPEA concept + capital sequencing review",IF($L133="Blended programme","Capital programme structuring review","Targeted HVAC and roof scope review"))))</f>
        <v>Targeted HVAC and roof scope review</v>
      </c>
      <c r="T133" s="49"/>
      <c r="U133" s="49"/>
    </row>
    <row r="134" spans="1:21">
      <c r="A134" s="22" t="str">
        <f>'Opportunity Model'!A134</f>
        <v>Suffolk City</v>
      </c>
      <c r="B134" s="22" t="str">
        <f>'Opportunity Model'!B134</f>
        <v>City</v>
      </c>
      <c r="C134" s="3" t="s">
        <v>345</v>
      </c>
      <c r="D134" s="22" t="str">
        <f>'Opportunity Model'!D134</f>
        <v>No public action found</v>
      </c>
      <c r="E134" s="22">
        <f>'Opportunity Model'!E134</f>
        <v>0</v>
      </c>
      <c r="F134" s="23">
        <f>'Opportunity Model'!G134</f>
        <v>652169664.84805322</v>
      </c>
      <c r="G134" s="23">
        <f>'Opportunity Model'!F134</f>
        <v>20839996.826550283</v>
      </c>
      <c r="H134" s="45">
        <f>'Region Needs Profile'!B7</f>
        <v>1.43E-2</v>
      </c>
      <c r="I134" s="46">
        <f>'Region Needs Profile'!C7</f>
        <v>50</v>
      </c>
      <c r="J134" s="47">
        <f>'Region Needs Profile'!P7</f>
        <v>-8.3941601847190412</v>
      </c>
      <c r="K134" s="3" t="str">
        <f>IF($F134&gt;=PERCENTILE($F$6:$F$138,0.75),"High",IF($F134&gt;=PERCENTILE($F$6:$F$138,0.4),"Moderate","Low"))</f>
        <v>High</v>
      </c>
      <c r="L134" s="3" t="str">
        <f>IF($J134&gt;=40,"New build / PPEA",IF($J134&lt;=-40,IF($K134="Low","Retrofit + state stack","Retrofit / ESPC"),IF($K134="High","Blended programme","Selective retrofit")))</f>
        <v>Blended programme</v>
      </c>
      <c r="M134" s="3" t="str">
        <f>IF($L134="New build / PPEA","Levy-backed debt + PPEA availability payment + SCAP 10%",IF($L134="Retrofit + state stack","SCAP 20-30% + Literary Fund + levy + guaranteed savings",IF($L134="Retrofit / ESPC","Levy + guaranteed savings + VPSA pooled bond",IF($L134="Blended programme","Levy-backed debt + ESPC on the retained estate","SCAP + Literary Fund + guaranteed savings"))))</f>
        <v>Levy-backed debt + ESPC on the retained estate</v>
      </c>
      <c r="N134" s="35">
        <f>IF(OR($L134="Retrofit / ESPC",$L134="Retrofit + state stack"),$B$142,IF($L134="New build / PPEA",$B$144,$B$143))</f>
        <v>0.7</v>
      </c>
      <c r="O134" s="35">
        <f>IF($D134="On Nov 2026 ballot",$B$145,IF($D134="Levying since 2020-23",$B$147,IF($D134="Deferred, eyeing 2027",$B$148,$B$146)))</f>
        <v>0.8</v>
      </c>
      <c r="P134" s="34" t="str">
        <f>IF($E134=0,"",($F134/MAX($F$6:$F$138))^0.38*100*$N134*$O134)</f>
        <v/>
      </c>
      <c r="Q134" s="48" t="str">
        <f>IF($E134=0,"","P"&amp;MIN(4,ROUNDUP(RANK($P134,$P$6:$P$138)/COUNT($P$6:$P$138)*4,0)))</f>
        <v/>
      </c>
      <c r="R134" s="3" t="str">
        <f>IF($D134="On Nov 2026 ballot","Wave 1 - position before the vote",IF($D134="Deferred, eyeing 2027","Wave 3 - 2027 referendum cycle",IF($D134="Levying since 2020-23","Wave 2 - next phase / displace incumbent","Wave 1 - VERIFY referendum status first")))</f>
        <v>Wave 1 - VERIFY referendum status first</v>
      </c>
      <c r="S134" s="3" t="str">
        <f>IF($L134="Retrofit + state stack","SCAP application support + no-cost condition assessment",IF($L134="Retrofit / ESPC","No-cost facility condition assessment",IF($L134="New build / PPEA","PPEA concept + capital sequencing review",IF($L134="Blended programme","Capital programme structuring review","Targeted HVAC and roof scope review"))))</f>
        <v>Capital programme structuring review</v>
      </c>
      <c r="T134" s="49"/>
      <c r="U134" s="49"/>
    </row>
    <row r="135" spans="1:21">
      <c r="A135" s="50" t="str">
        <f>'Opportunity Model'!A135</f>
        <v>Virginia Beach City</v>
      </c>
      <c r="B135" s="50" t="str">
        <f>'Opportunity Model'!B135</f>
        <v>City</v>
      </c>
      <c r="C135" s="51" t="s">
        <v>345</v>
      </c>
      <c r="D135" s="50" t="str">
        <f>'Opportunity Model'!D135</f>
        <v>No public action found</v>
      </c>
      <c r="E135" s="50">
        <f>'Opportunity Model'!E135</f>
        <v>0</v>
      </c>
      <c r="F135" s="52">
        <f>'Opportunity Model'!G135</f>
        <v>3118349616.2896786</v>
      </c>
      <c r="G135" s="52">
        <f>'Opportunity Model'!F135</f>
        <v>105090206.52125755</v>
      </c>
      <c r="H135" s="53">
        <f>'Region Needs Profile'!B7</f>
        <v>1.43E-2</v>
      </c>
      <c r="I135" s="54">
        <f>'Region Needs Profile'!C7</f>
        <v>50</v>
      </c>
      <c r="J135" s="55">
        <f>'Region Needs Profile'!P7</f>
        <v>-8.3941601847190412</v>
      </c>
      <c r="K135" s="51" t="str">
        <f>IF($F135&gt;=PERCENTILE($F$6:$F$138,0.75),"High",IF($F135&gt;=PERCENTILE($F$6:$F$138,0.4),"Moderate","Low"))</f>
        <v>High</v>
      </c>
      <c r="L135" s="51" t="str">
        <f>IF($J135&gt;=40,"New build / PPEA",IF($J135&lt;=-40,IF($K135="Low","Retrofit + state stack","Retrofit / ESPC"),IF($K135="High","Blended programme","Selective retrofit")))</f>
        <v>Blended programme</v>
      </c>
      <c r="M135" s="51" t="str">
        <f>IF($L135="New build / PPEA","Levy-backed debt + PPEA availability payment + SCAP 10%",IF($L135="Retrofit + state stack","SCAP 20-30% + Literary Fund + levy + guaranteed savings",IF($L135="Retrofit / ESPC","Levy + guaranteed savings + VPSA pooled bond",IF($L135="Blended programme","Levy-backed debt + ESPC on the retained estate","SCAP + Literary Fund + guaranteed savings"))))</f>
        <v>Levy-backed debt + ESPC on the retained estate</v>
      </c>
      <c r="N135" s="35">
        <f>IF(OR($L135="Retrofit / ESPC",$L135="Retrofit + state stack"),$B$142,IF($L135="New build / PPEA",$B$144,$B$143))</f>
        <v>0.7</v>
      </c>
      <c r="O135" s="35">
        <f>IF($D135="On Nov 2026 ballot",$B$145,IF($D135="Levying since 2020-23",$B$147,IF($D135="Deferred, eyeing 2027",$B$148,$B$146)))</f>
        <v>0.8</v>
      </c>
      <c r="P135" s="34" t="str">
        <f>IF($E135=0,"",($F135/MAX($F$6:$F$138))^0.38*100*$N135*$O135)</f>
        <v/>
      </c>
      <c r="Q135" s="48" t="str">
        <f>IF($E135=0,"","P"&amp;MIN(4,ROUNDUP(RANK($P135,$P$6:$P$138)/COUNT($P$6:$P$138)*4,0)))</f>
        <v/>
      </c>
      <c r="R135" s="3" t="str">
        <f>IF($D135="On Nov 2026 ballot","Wave 1 - position before the vote",IF($D135="Deferred, eyeing 2027","Wave 3 - 2027 referendum cycle",IF($D135="Levying since 2020-23","Wave 2 - next phase / displace incumbent","Wave 1 - VERIFY referendum status first")))</f>
        <v>Wave 1 - VERIFY referendum status first</v>
      </c>
      <c r="S135" s="3" t="str">
        <f>IF($L135="Retrofit + state stack","SCAP application support + no-cost condition assessment",IF($L135="Retrofit / ESPC","No-cost facility condition assessment",IF($L135="New build / PPEA","PPEA concept + capital sequencing review",IF($L135="Blended programme","Capital programme structuring review","Targeted HVAC and roof scope review"))))</f>
        <v>Capital programme structuring review</v>
      </c>
      <c r="T135" s="49"/>
      <c r="U135" s="49"/>
    </row>
    <row r="136" spans="1:21">
      <c r="A136" s="22" t="str">
        <f>'Opportunity Model'!A136</f>
        <v>Waynesboro City</v>
      </c>
      <c r="B136" s="22" t="str">
        <f>'Opportunity Model'!B136</f>
        <v>City</v>
      </c>
      <c r="C136" s="3" t="s">
        <v>348</v>
      </c>
      <c r="D136" s="22" t="str">
        <f>'Opportunity Model'!D136</f>
        <v>No public action found</v>
      </c>
      <c r="E136" s="22">
        <f>'Opportunity Model'!E136</f>
        <v>0</v>
      </c>
      <c r="F136" s="23">
        <f>'Opportunity Model'!G136</f>
        <v>235759369.59980944</v>
      </c>
      <c r="G136" s="23">
        <f>'Opportunity Model'!F136</f>
        <v>8162676.0546338009</v>
      </c>
      <c r="H136" s="45">
        <f>'Region Needs Profile'!B10</f>
        <v>3.0099999999999998E-2</v>
      </c>
      <c r="I136" s="46">
        <f>'Region Needs Profile'!C10</f>
        <v>55</v>
      </c>
      <c r="J136" s="47">
        <f>'Region Needs Profile'!P10</f>
        <v>10.405306444373188</v>
      </c>
      <c r="K136" s="3" t="str">
        <f>IF($F136&gt;=PERCENTILE($F$6:$F$138,0.75),"High",IF($F136&gt;=PERCENTILE($F$6:$F$138,0.4),"Moderate","Low"))</f>
        <v>Moderate</v>
      </c>
      <c r="L136" s="3" t="str">
        <f>IF($J136&gt;=40,"New build / PPEA",IF($J136&lt;=-40,IF($K136="Low","Retrofit + state stack","Retrofit / ESPC"),IF($K136="High","Blended programme","Selective retrofit")))</f>
        <v>Selective retrofit</v>
      </c>
      <c r="M136" s="3" t="str">
        <f>IF($L136="New build / PPEA","Levy-backed debt + PPEA availability payment + SCAP 10%",IF($L136="Retrofit + state stack","SCAP 20-30% + Literary Fund + levy + guaranteed savings",IF($L136="Retrofit / ESPC","Levy + guaranteed savings + VPSA pooled bond",IF($L136="Blended programme","Levy-backed debt + ESPC on the retained estate","SCAP + Literary Fund + guaranteed savings"))))</f>
        <v>SCAP + Literary Fund + guaranteed savings</v>
      </c>
      <c r="N136" s="35">
        <f>IF(OR($L136="Retrofit / ESPC",$L136="Retrofit + state stack"),$B$142,IF($L136="New build / PPEA",$B$144,$B$143))</f>
        <v>0.7</v>
      </c>
      <c r="O136" s="35">
        <f>IF($D136="On Nov 2026 ballot",$B$145,IF($D136="Levying since 2020-23",$B$147,IF($D136="Deferred, eyeing 2027",$B$148,$B$146)))</f>
        <v>0.8</v>
      </c>
      <c r="P136" s="34" t="str">
        <f>IF($E136=0,"",($F136/MAX($F$6:$F$138))^0.38*100*$N136*$O136)</f>
        <v/>
      </c>
      <c r="Q136" s="48" t="str">
        <f>IF($E136=0,"","P"&amp;MIN(4,ROUNDUP(RANK($P136,$P$6:$P$138)/COUNT($P$6:$P$138)*4,0)))</f>
        <v/>
      </c>
      <c r="R136" s="3" t="str">
        <f>IF($D136="On Nov 2026 ballot","Wave 1 - position before the vote",IF($D136="Deferred, eyeing 2027","Wave 3 - 2027 referendum cycle",IF($D136="Levying since 2020-23","Wave 2 - next phase / displace incumbent","Wave 1 - VERIFY referendum status first")))</f>
        <v>Wave 1 - VERIFY referendum status first</v>
      </c>
      <c r="S136" s="3" t="str">
        <f>IF($L136="Retrofit + state stack","SCAP application support + no-cost condition assessment",IF($L136="Retrofit / ESPC","No-cost facility condition assessment",IF($L136="New build / PPEA","PPEA concept + capital sequencing review",IF($L136="Blended programme","Capital programme structuring review","Targeted HVAC and roof scope review"))))</f>
        <v>Targeted HVAC and roof scope review</v>
      </c>
      <c r="T136" s="49"/>
      <c r="U136" s="49"/>
    </row>
    <row r="137" spans="1:21">
      <c r="A137" s="50" t="str">
        <f>'Opportunity Model'!A137</f>
        <v>Williamsburg City</v>
      </c>
      <c r="B137" s="50" t="str">
        <f>'Opportunity Model'!B137</f>
        <v>City</v>
      </c>
      <c r="C137" s="51" t="s">
        <v>345</v>
      </c>
      <c r="D137" s="50" t="str">
        <f>'Opportunity Model'!D137</f>
        <v>No public action found</v>
      </c>
      <c r="E137" s="50">
        <f>'Opportunity Model'!E137</f>
        <v>0</v>
      </c>
      <c r="F137" s="52">
        <f>'Opportunity Model'!G137</f>
        <v>185419812.72184086</v>
      </c>
      <c r="G137" s="52">
        <f>'Opportunity Model'!F137</f>
        <v>6498301.6714519756</v>
      </c>
      <c r="H137" s="53">
        <f>'Region Needs Profile'!B7</f>
        <v>1.43E-2</v>
      </c>
      <c r="I137" s="54">
        <f>'Region Needs Profile'!C7</f>
        <v>50</v>
      </c>
      <c r="J137" s="55">
        <f>'Region Needs Profile'!P7</f>
        <v>-8.3941601847190412</v>
      </c>
      <c r="K137" s="51" t="str">
        <f>IF($F137&gt;=PERCENTILE($F$6:$F$138,0.75),"High",IF($F137&gt;=PERCENTILE($F$6:$F$138,0.4),"Moderate","Low"))</f>
        <v>Moderate</v>
      </c>
      <c r="L137" s="51" t="str">
        <f>IF($J137&gt;=40,"New build / PPEA",IF($J137&lt;=-40,IF($K137="Low","Retrofit + state stack","Retrofit / ESPC"),IF($K137="High","Blended programme","Selective retrofit")))</f>
        <v>Selective retrofit</v>
      </c>
      <c r="M137" s="51" t="str">
        <f>IF($L137="New build / PPEA","Levy-backed debt + PPEA availability payment + SCAP 10%",IF($L137="Retrofit + state stack","SCAP 20-30% + Literary Fund + levy + guaranteed savings",IF($L137="Retrofit / ESPC","Levy + guaranteed savings + VPSA pooled bond",IF($L137="Blended programme","Levy-backed debt + ESPC on the retained estate","SCAP + Literary Fund + guaranteed savings"))))</f>
        <v>SCAP + Literary Fund + guaranteed savings</v>
      </c>
      <c r="N137" s="35">
        <f>IF(OR($L137="Retrofit / ESPC",$L137="Retrofit + state stack"),$B$142,IF($L137="New build / PPEA",$B$144,$B$143))</f>
        <v>0.7</v>
      </c>
      <c r="O137" s="35">
        <f>IF($D137="On Nov 2026 ballot",$B$145,IF($D137="Levying since 2020-23",$B$147,IF($D137="Deferred, eyeing 2027",$B$148,$B$146)))</f>
        <v>0.8</v>
      </c>
      <c r="P137" s="34" t="str">
        <f>IF($E137=0,"",($F137/MAX($F$6:$F$138))^0.38*100*$N137*$O137)</f>
        <v/>
      </c>
      <c r="Q137" s="48" t="str">
        <f>IF($E137=0,"","P"&amp;MIN(4,ROUNDUP(RANK($P137,$P$6:$P$138)/COUNT($P$6:$P$138)*4,0)))</f>
        <v/>
      </c>
      <c r="R137" s="3" t="str">
        <f>IF($D137="On Nov 2026 ballot","Wave 1 - position before the vote",IF($D137="Deferred, eyeing 2027","Wave 3 - 2027 referendum cycle",IF($D137="Levying since 2020-23","Wave 2 - next phase / displace incumbent","Wave 1 - VERIFY referendum status first")))</f>
        <v>Wave 1 - VERIFY referendum status first</v>
      </c>
      <c r="S137" s="3" t="str">
        <f>IF($L137="Retrofit + state stack","SCAP application support + no-cost condition assessment",IF($L137="Retrofit / ESPC","No-cost facility condition assessment",IF($L137="New build / PPEA","PPEA concept + capital sequencing review",IF($L137="Blended programme","Capital programme structuring review","Targeted HVAC and roof scope review"))))</f>
        <v>Targeted HVAC and roof scope review</v>
      </c>
      <c r="T137" s="49"/>
      <c r="U137" s="49"/>
    </row>
    <row r="138" spans="1:21">
      <c r="A138" s="22" t="str">
        <f>'Opportunity Model'!A138</f>
        <v>Winchester City</v>
      </c>
      <c r="B138" s="22" t="str">
        <f>'Opportunity Model'!B138</f>
        <v>City</v>
      </c>
      <c r="C138" s="3" t="s">
        <v>347</v>
      </c>
      <c r="D138" s="22" t="str">
        <f>'Opportunity Model'!D138</f>
        <v>No public action found</v>
      </c>
      <c r="E138" s="22">
        <f>'Opportunity Model'!E138</f>
        <v>0</v>
      </c>
      <c r="F138" s="23">
        <f>'Opportunity Model'!G138</f>
        <v>427511522.95472676</v>
      </c>
      <c r="G138" s="23">
        <f>'Opportunity Model'!F138</f>
        <v>14552983.059561074</v>
      </c>
      <c r="H138" s="45">
        <f>'Region Needs Profile'!B9</f>
        <v>7.9399999999999998E-2</v>
      </c>
      <c r="I138" s="46">
        <f>'Region Needs Profile'!C9</f>
        <v>48</v>
      </c>
      <c r="J138" s="47">
        <f>'Region Needs Profile'!P9</f>
        <v>54.342196447459614</v>
      </c>
      <c r="K138" s="3" t="str">
        <f>IF($F138&gt;=PERCENTILE($F$6:$F$138,0.75),"High",IF($F138&gt;=PERCENTILE($F$6:$F$138,0.4),"Moderate","Low"))</f>
        <v>High</v>
      </c>
      <c r="L138" s="3" t="str">
        <f>IF($J138&gt;=40,"New build / PPEA",IF($J138&lt;=-40,IF($K138="Low","Retrofit + state stack","Retrofit / ESPC"),IF($K138="High","Blended programme","Selective retrofit")))</f>
        <v>New build / PPEA</v>
      </c>
      <c r="M138" s="3" t="str">
        <f>IF($L138="New build / PPEA","Levy-backed debt + PPEA availability payment + SCAP 10%",IF($L138="Retrofit + state stack","SCAP 20-30% + Literary Fund + levy + guaranteed savings",IF($L138="Retrofit / ESPC","Levy + guaranteed savings + VPSA pooled bond",IF($L138="Blended programme","Levy-backed debt + ESPC on the retained estate","SCAP + Literary Fund + guaranteed savings"))))</f>
        <v>Levy-backed debt + PPEA availability payment + SCAP 10%</v>
      </c>
      <c r="N138" s="35">
        <f>IF(OR($L138="Retrofit / ESPC",$L138="Retrofit + state stack"),$B$142,IF($L138="New build / PPEA",$B$144,$B$143))</f>
        <v>0.45</v>
      </c>
      <c r="O138" s="35">
        <f>IF($D138="On Nov 2026 ballot",$B$145,IF($D138="Levying since 2020-23",$B$147,IF($D138="Deferred, eyeing 2027",$B$148,$B$146)))</f>
        <v>0.8</v>
      </c>
      <c r="P138" s="34" t="str">
        <f>IF($E138=0,"",($F138/MAX($F$6:$F$138))^0.38*100*$N138*$O138)</f>
        <v/>
      </c>
      <c r="Q138" s="48" t="str">
        <f>IF($E138=0,"","P"&amp;MIN(4,ROUNDUP(RANK($P138,$P$6:$P$138)/COUNT($P$6:$P$138)*4,0)))</f>
        <v/>
      </c>
      <c r="R138" s="3" t="str">
        <f>IF($D138="On Nov 2026 ballot","Wave 1 - position before the vote",IF($D138="Deferred, eyeing 2027","Wave 3 - 2027 referendum cycle",IF($D138="Levying since 2020-23","Wave 2 - next phase / displace incumbent","Wave 1 - VERIFY referendum status first")))</f>
        <v>Wave 1 - VERIFY referendum status first</v>
      </c>
      <c r="S138" s="3" t="str">
        <f>IF($L138="Retrofit + state stack","SCAP application support + no-cost condition assessment",IF($L138="Retrofit / ESPC","No-cost facility condition assessment",IF($L138="New build / PPEA","PPEA concept + capital sequencing review",IF($L138="Blended programme","Capital programme structuring review","Targeted HVAC and roof scope review"))))</f>
        <v>PPEA concept + capital sequencing review</v>
      </c>
      <c r="T138" s="49"/>
      <c r="U138" s="49"/>
    </row>
    <row r="141" spans="1:21">
      <c r="A141" s="2" t="s">
        <v>377</v>
      </c>
    </row>
    <row r="142" spans="1:21">
      <c r="A142" s="3" t="s">
        <v>378</v>
      </c>
      <c r="B142" s="12">
        <v>1</v>
      </c>
    </row>
    <row r="143" spans="1:21">
      <c r="A143" s="3" t="s">
        <v>379</v>
      </c>
      <c r="B143" s="12">
        <v>0.7</v>
      </c>
    </row>
    <row r="144" spans="1:21">
      <c r="A144" s="3" t="s">
        <v>380</v>
      </c>
      <c r="B144" s="12">
        <v>0.45</v>
      </c>
    </row>
    <row r="145" spans="1:2">
      <c r="A145" s="3" t="s">
        <v>381</v>
      </c>
      <c r="B145" s="12">
        <v>1</v>
      </c>
    </row>
    <row r="146" spans="1:2">
      <c r="A146" s="3" t="s">
        <v>382</v>
      </c>
      <c r="B146" s="12">
        <v>0.8</v>
      </c>
    </row>
    <row r="147" spans="1:2">
      <c r="A147" s="3" t="s">
        <v>383</v>
      </c>
      <c r="B147" s="12">
        <v>0.65</v>
      </c>
    </row>
    <row r="148" spans="1:2">
      <c r="A148" s="3" t="s">
        <v>384</v>
      </c>
      <c r="B148" s="12">
        <v>0.55000000000000004</v>
      </c>
    </row>
    <row r="150" spans="1:2">
      <c r="A150" s="4" t="s">
        <v>385</v>
      </c>
    </row>
    <row r="151" spans="1:2">
      <c r="A151" s="4" t="s">
        <v>386</v>
      </c>
    </row>
    <row r="152" spans="1:2">
      <c r="A152" s="4" t="s">
        <v>387</v>
      </c>
    </row>
    <row r="153" spans="1:2">
      <c r="A153" s="4" t="s">
        <v>388</v>
      </c>
    </row>
  </sheetData>
  <autoFilter ref="A5:U138" xr:uid="{00000000-0009-0000-0000-000009000000}"/>
  <conditionalFormatting sqref="P6:P138">
    <cfRule type="colorScale" priority="2">
      <colorScale>
        <cfvo type="min"/>
        <cfvo type="percentile" val="50"/>
        <cfvo type="max"/>
        <color rgb="FFFFFFFF"/>
        <color rgb="FFD6C321"/>
        <color rgb="FFC42B21"/>
      </colorScale>
    </cfRule>
  </conditionalFormatting>
  <conditionalFormatting sqref="Q6:Q138">
    <cfRule type="expression" dxfId="4" priority="3">
      <formula>$Q6="P1"</formula>
    </cfRule>
    <cfRule type="expression" dxfId="3" priority="4">
      <formula>$Q6="P2"</formula>
    </cfRule>
    <cfRule type="expression" dxfId="2" priority="5">
      <formula>$Q6="P3"</formula>
    </cfRule>
    <cfRule type="expression" dxfId="1" priority="6">
      <formula>$Q6="P4"</formula>
    </cfRule>
  </conditionalFormatting>
  <conditionalFormatting sqref="J6:J138">
    <cfRule type="colorScale" priority="7">
      <colorScale>
        <cfvo type="num" val="-100"/>
        <cfvo type="num" val="0"/>
        <cfvo type="num" val="100"/>
        <color rgb="FFC42B21"/>
        <color rgb="FFF7F7F4"/>
        <color rgb="FF1F6F4A"/>
      </colorScale>
    </cfRule>
  </conditionalFormatting>
  <conditionalFormatting sqref="F6:F138">
    <cfRule type="colorScale" priority="8">
      <colorScale>
        <cfvo type="min"/>
        <cfvo type="max"/>
        <color rgb="FFFFFFFF"/>
        <color rgb="FF1F3864"/>
      </colorScale>
    </cfRule>
  </conditionalFormatting>
  <conditionalFormatting sqref="A6:U138">
    <cfRule type="expression" dxfId="0" priority="9">
      <formula>$E6=0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"/>
  <sheetViews>
    <sheetView showGridLines="0" zoomScaleNormal="100" workbookViewId="0"/>
  </sheetViews>
  <sheetFormatPr defaultColWidth="8.7109375" defaultRowHeight="15"/>
  <cols>
    <col min="1" max="1" width="26" customWidth="1"/>
    <col min="2" max="2" width="44" customWidth="1"/>
    <col min="3" max="3" width="34" customWidth="1"/>
    <col min="4" max="4" width="42" customWidth="1"/>
    <col min="5" max="5" width="46" customWidth="1"/>
  </cols>
  <sheetData>
    <row r="1" spans="1:5" ht="17.45">
      <c r="A1" s="1" t="s">
        <v>389</v>
      </c>
    </row>
    <row r="2" spans="1:5">
      <c r="A2" s="4" t="s">
        <v>390</v>
      </c>
    </row>
    <row r="4" spans="1:5" ht="33.75" customHeight="1">
      <c r="A4" s="5" t="s">
        <v>391</v>
      </c>
      <c r="B4" s="5" t="s">
        <v>392</v>
      </c>
      <c r="C4" s="5" t="s">
        <v>393</v>
      </c>
      <c r="D4" s="5" t="s">
        <v>394</v>
      </c>
      <c r="E4" s="5" t="s">
        <v>395</v>
      </c>
    </row>
    <row r="5" spans="1:5" ht="73.5" customHeight="1">
      <c r="A5" s="56" t="s">
        <v>396</v>
      </c>
      <c r="B5" s="57" t="s">
        <v>397</v>
      </c>
      <c r="C5" s="57" t="s">
        <v>398</v>
      </c>
      <c r="D5" s="57" t="s">
        <v>399</v>
      </c>
      <c r="E5" s="57" t="s">
        <v>400</v>
      </c>
    </row>
    <row r="6" spans="1:5" ht="73.5" customHeight="1">
      <c r="A6" s="58" t="s">
        <v>401</v>
      </c>
      <c r="B6" s="59" t="s">
        <v>402</v>
      </c>
      <c r="C6" s="59" t="s">
        <v>403</v>
      </c>
      <c r="D6" s="59" t="s">
        <v>404</v>
      </c>
      <c r="E6" s="59" t="s">
        <v>405</v>
      </c>
    </row>
    <row r="7" spans="1:5" ht="73.5" customHeight="1">
      <c r="A7" s="56" t="s">
        <v>406</v>
      </c>
      <c r="B7" s="57" t="s">
        <v>407</v>
      </c>
      <c r="C7" s="57" t="s">
        <v>408</v>
      </c>
      <c r="D7" s="57" t="s">
        <v>409</v>
      </c>
      <c r="E7" s="57" t="s">
        <v>410</v>
      </c>
    </row>
    <row r="8" spans="1:5" ht="73.5" customHeight="1">
      <c r="A8" s="58" t="s">
        <v>411</v>
      </c>
      <c r="B8" s="59" t="s">
        <v>412</v>
      </c>
      <c r="C8" s="59" t="s">
        <v>413</v>
      </c>
      <c r="D8" s="59" t="s">
        <v>414</v>
      </c>
      <c r="E8" s="59" t="s">
        <v>415</v>
      </c>
    </row>
    <row r="9" spans="1:5" ht="73.5" customHeight="1">
      <c r="A9" s="56" t="s">
        <v>416</v>
      </c>
      <c r="B9" s="57" t="s">
        <v>417</v>
      </c>
      <c r="C9" s="57" t="s">
        <v>418</v>
      </c>
      <c r="D9" s="57" t="s">
        <v>419</v>
      </c>
      <c r="E9" s="57" t="s">
        <v>420</v>
      </c>
    </row>
    <row r="10" spans="1:5" ht="73.5" customHeight="1">
      <c r="A10" s="58" t="s">
        <v>421</v>
      </c>
      <c r="B10" s="59" t="s">
        <v>422</v>
      </c>
      <c r="C10" s="59" t="s">
        <v>423</v>
      </c>
      <c r="D10" s="59" t="s">
        <v>424</v>
      </c>
      <c r="E10" s="59" t="s">
        <v>425</v>
      </c>
    </row>
    <row r="11" spans="1:5" ht="73.5" customHeight="1">
      <c r="A11" s="56" t="s">
        <v>426</v>
      </c>
      <c r="B11" s="57" t="s">
        <v>427</v>
      </c>
      <c r="C11" s="57" t="s">
        <v>428</v>
      </c>
      <c r="D11" s="57" t="s">
        <v>429</v>
      </c>
      <c r="E11" s="57" t="s">
        <v>430</v>
      </c>
    </row>
    <row r="12" spans="1:5" ht="73.5" customHeight="1">
      <c r="A12" s="58" t="s">
        <v>431</v>
      </c>
      <c r="B12" s="59" t="s">
        <v>432</v>
      </c>
      <c r="C12" s="59" t="s">
        <v>433</v>
      </c>
      <c r="D12" s="59" t="s">
        <v>434</v>
      </c>
      <c r="E12" s="59" t="s">
        <v>435</v>
      </c>
    </row>
    <row r="13" spans="1:5" ht="73.5" customHeight="1">
      <c r="A13" s="56" t="s">
        <v>436</v>
      </c>
      <c r="B13" s="57" t="s">
        <v>437</v>
      </c>
      <c r="C13" s="57" t="s">
        <v>438</v>
      </c>
      <c r="D13" s="57" t="s">
        <v>439</v>
      </c>
      <c r="E13" s="57" t="s">
        <v>440</v>
      </c>
    </row>
    <row r="15" spans="1:5">
      <c r="A15" s="4" t="s">
        <v>441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7"/>
  <sheetViews>
    <sheetView showGridLines="0" zoomScaleNormal="100" workbookViewId="0"/>
  </sheetViews>
  <sheetFormatPr defaultColWidth="8.7109375" defaultRowHeight="15"/>
  <cols>
    <col min="1" max="1" width="6" customWidth="1"/>
    <col min="2" max="2" width="46" customWidth="1"/>
    <col min="3" max="3" width="26" customWidth="1"/>
    <col min="4" max="4" width="58" customWidth="1"/>
    <col min="5" max="5" width="48" customWidth="1"/>
  </cols>
  <sheetData>
    <row r="1" spans="1:5" ht="17.45">
      <c r="A1" s="1" t="s">
        <v>442</v>
      </c>
    </row>
    <row r="2" spans="1:5">
      <c r="A2" s="4" t="s">
        <v>443</v>
      </c>
    </row>
    <row r="4" spans="1:5">
      <c r="A4" s="5" t="s">
        <v>444</v>
      </c>
      <c r="B4" s="5" t="s">
        <v>445</v>
      </c>
      <c r="C4" s="5" t="s">
        <v>446</v>
      </c>
      <c r="D4" s="5" t="s">
        <v>447</v>
      </c>
      <c r="E4" s="5" t="s">
        <v>448</v>
      </c>
    </row>
    <row r="5" spans="1:5" ht="45.75" customHeight="1">
      <c r="A5" s="56" t="s">
        <v>449</v>
      </c>
      <c r="B5" s="57" t="s">
        <v>450</v>
      </c>
      <c r="C5" s="57" t="s">
        <v>451</v>
      </c>
      <c r="D5" s="57" t="s">
        <v>8</v>
      </c>
      <c r="E5" s="57" t="s">
        <v>452</v>
      </c>
    </row>
    <row r="6" spans="1:5" ht="45.75" customHeight="1">
      <c r="A6" s="58" t="s">
        <v>453</v>
      </c>
      <c r="B6" s="59" t="s">
        <v>454</v>
      </c>
      <c r="C6" s="59" t="s">
        <v>451</v>
      </c>
      <c r="D6" s="59" t="s">
        <v>8</v>
      </c>
      <c r="E6" s="59" t="s">
        <v>455</v>
      </c>
    </row>
    <row r="7" spans="1:5" ht="45.75" customHeight="1">
      <c r="A7" s="56" t="s">
        <v>456</v>
      </c>
      <c r="B7" s="57" t="s">
        <v>457</v>
      </c>
      <c r="C7" s="57" t="s">
        <v>458</v>
      </c>
      <c r="D7" s="57" t="s">
        <v>459</v>
      </c>
      <c r="E7" s="57" t="s">
        <v>460</v>
      </c>
    </row>
    <row r="8" spans="1:5" ht="45.75" customHeight="1">
      <c r="A8" s="58" t="s">
        <v>461</v>
      </c>
      <c r="B8" s="59" t="s">
        <v>462</v>
      </c>
      <c r="C8" s="59" t="s">
        <v>458</v>
      </c>
      <c r="D8" s="59" t="s">
        <v>463</v>
      </c>
      <c r="E8" s="59" t="s">
        <v>464</v>
      </c>
    </row>
    <row r="9" spans="1:5" ht="45.75" customHeight="1">
      <c r="A9" s="56" t="s">
        <v>465</v>
      </c>
      <c r="B9" s="57" t="s">
        <v>466</v>
      </c>
      <c r="C9" s="57" t="s">
        <v>467</v>
      </c>
      <c r="D9" s="57" t="s">
        <v>468</v>
      </c>
      <c r="E9" s="57" t="s">
        <v>469</v>
      </c>
    </row>
    <row r="10" spans="1:5" ht="45.75" customHeight="1">
      <c r="A10" s="58" t="s">
        <v>470</v>
      </c>
      <c r="B10" s="59" t="s">
        <v>471</v>
      </c>
      <c r="C10" s="59" t="s">
        <v>472</v>
      </c>
      <c r="D10" s="59" t="s">
        <v>473</v>
      </c>
      <c r="E10" s="59" t="s">
        <v>474</v>
      </c>
    </row>
    <row r="11" spans="1:5" ht="45.75" customHeight="1">
      <c r="A11" s="56" t="s">
        <v>475</v>
      </c>
      <c r="B11" s="57" t="s">
        <v>476</v>
      </c>
      <c r="C11" s="57" t="s">
        <v>477</v>
      </c>
      <c r="D11" s="57" t="s">
        <v>478</v>
      </c>
      <c r="E11" s="57" t="s">
        <v>479</v>
      </c>
    </row>
    <row r="12" spans="1:5" ht="45.75" customHeight="1">
      <c r="A12" s="58" t="s">
        <v>480</v>
      </c>
      <c r="B12" s="59" t="s">
        <v>481</v>
      </c>
      <c r="C12" s="59" t="s">
        <v>482</v>
      </c>
      <c r="D12" s="59" t="s">
        <v>483</v>
      </c>
      <c r="E12" s="59" t="s">
        <v>484</v>
      </c>
    </row>
    <row r="13" spans="1:5" ht="45.75" customHeight="1">
      <c r="A13" s="56" t="s">
        <v>485</v>
      </c>
      <c r="B13" s="57" t="s">
        <v>486</v>
      </c>
      <c r="C13" s="57" t="s">
        <v>487</v>
      </c>
      <c r="D13" s="57" t="s">
        <v>488</v>
      </c>
      <c r="E13" s="57" t="s">
        <v>489</v>
      </c>
    </row>
    <row r="14" spans="1:5" ht="45.75" customHeight="1">
      <c r="A14" s="58" t="s">
        <v>490</v>
      </c>
      <c r="B14" s="59" t="s">
        <v>491</v>
      </c>
      <c r="C14" s="59" t="s">
        <v>492</v>
      </c>
      <c r="D14" s="59" t="s">
        <v>493</v>
      </c>
      <c r="E14" s="59" t="s">
        <v>494</v>
      </c>
    </row>
    <row r="15" spans="1:5" ht="45.75" customHeight="1">
      <c r="A15" s="56" t="s">
        <v>495</v>
      </c>
      <c r="B15" s="57" t="s">
        <v>496</v>
      </c>
      <c r="C15" s="57" t="s">
        <v>497</v>
      </c>
      <c r="D15" s="57" t="s">
        <v>498</v>
      </c>
      <c r="E15" s="57" t="s">
        <v>499</v>
      </c>
    </row>
    <row r="16" spans="1:5" ht="45.75" customHeight="1">
      <c r="A16" s="58" t="s">
        <v>500</v>
      </c>
      <c r="B16" s="59" t="s">
        <v>501</v>
      </c>
      <c r="C16" s="59" t="s">
        <v>502</v>
      </c>
      <c r="D16" s="59" t="s">
        <v>503</v>
      </c>
      <c r="E16" s="59" t="s">
        <v>504</v>
      </c>
    </row>
    <row r="17" spans="1:5" ht="45.75" customHeight="1">
      <c r="A17" s="56" t="s">
        <v>505</v>
      </c>
      <c r="B17" s="57" t="s">
        <v>506</v>
      </c>
      <c r="C17" s="57" t="s">
        <v>507</v>
      </c>
      <c r="D17" s="57" t="s">
        <v>508</v>
      </c>
      <c r="E17" s="57" t="s">
        <v>509</v>
      </c>
    </row>
    <row r="18" spans="1:5" ht="45.75" customHeight="1">
      <c r="A18" s="58" t="s">
        <v>510</v>
      </c>
      <c r="B18" s="59" t="s">
        <v>511</v>
      </c>
      <c r="C18" s="59" t="s">
        <v>512</v>
      </c>
      <c r="D18" s="59" t="s">
        <v>513</v>
      </c>
      <c r="E18" s="59" t="s">
        <v>514</v>
      </c>
    </row>
    <row r="19" spans="1:5" ht="45.75" customHeight="1">
      <c r="A19" s="56" t="s">
        <v>515</v>
      </c>
      <c r="B19" s="57" t="s">
        <v>516</v>
      </c>
      <c r="C19" s="57" t="s">
        <v>517</v>
      </c>
      <c r="D19" s="57" t="s">
        <v>518</v>
      </c>
      <c r="E19" s="57" t="s">
        <v>519</v>
      </c>
    </row>
    <row r="20" spans="1:5" ht="45.75" customHeight="1">
      <c r="A20" s="58" t="s">
        <v>520</v>
      </c>
      <c r="B20" s="59" t="s">
        <v>521</v>
      </c>
      <c r="C20" s="59" t="s">
        <v>522</v>
      </c>
      <c r="D20" s="59" t="s">
        <v>523</v>
      </c>
      <c r="E20" s="59" t="s">
        <v>524</v>
      </c>
    </row>
    <row r="21" spans="1:5" ht="45.75" customHeight="1">
      <c r="A21" s="56" t="s">
        <v>525</v>
      </c>
      <c r="B21" s="57" t="s">
        <v>526</v>
      </c>
      <c r="C21" s="57" t="s">
        <v>527</v>
      </c>
      <c r="D21" s="57" t="s">
        <v>528</v>
      </c>
      <c r="E21" s="57" t="s">
        <v>529</v>
      </c>
    </row>
    <row r="22" spans="1:5" ht="45.75" customHeight="1">
      <c r="A22" s="58" t="s">
        <v>530</v>
      </c>
      <c r="B22" s="59" t="s">
        <v>531</v>
      </c>
      <c r="C22" s="59" t="s">
        <v>532</v>
      </c>
      <c r="D22" s="59" t="s">
        <v>533</v>
      </c>
      <c r="E22" s="59" t="s">
        <v>534</v>
      </c>
    </row>
    <row r="23" spans="1:5" ht="45.75" customHeight="1">
      <c r="A23" s="56" t="s">
        <v>535</v>
      </c>
      <c r="B23" s="57" t="s">
        <v>536</v>
      </c>
      <c r="C23" s="57" t="s">
        <v>537</v>
      </c>
      <c r="D23" s="57" t="s">
        <v>538</v>
      </c>
      <c r="E23" s="57" t="s">
        <v>539</v>
      </c>
    </row>
    <row r="24" spans="1:5" ht="45.75" customHeight="1">
      <c r="A24" s="58" t="s">
        <v>540</v>
      </c>
      <c r="B24" s="59" t="s">
        <v>541</v>
      </c>
      <c r="C24" s="59" t="s">
        <v>542</v>
      </c>
      <c r="D24" s="59" t="s">
        <v>543</v>
      </c>
      <c r="E24" s="59" t="s">
        <v>544</v>
      </c>
    </row>
    <row r="26" spans="1:5">
      <c r="A26" s="4" t="s">
        <v>545</v>
      </c>
    </row>
    <row r="27" spans="1:5">
      <c r="A27" s="4" t="s">
        <v>546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2026-08-14T17:38:53Z</dcterms:created>
  <dcterms:modified xsi:type="dcterms:W3CDTF">2026-08-14T19:34:42Z</dcterms:modified>
  <cp:category/>
  <cp:contentStatus/>
</cp:coreProperties>
</file>